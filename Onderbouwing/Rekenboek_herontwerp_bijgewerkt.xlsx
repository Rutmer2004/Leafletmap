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36720</v>
      </c>
      <c r="E31" s="32" t="n"/>
      <c r="F31" s="32" t="n"/>
      <c r="G31" s="13" t="inlineStr">
        <is>
          <t>GEBCO 2026</t>
        </is>
      </c>
      <c r="H31" s="13" t="inlineStr">
        <is>
          <t>DO-tekening: 35.000 m buiten de mond (natuurlijk -18,2 m MLWS volgens GEBCO 2026, geen peiling) + 1.720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2781000</v>
      </c>
      <c r="D6" s="38" t="n">
        <v>-3.3</v>
      </c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bekkens + voorhaven, bodemmodel GEBCO 2026 + Copernicus DEM (negatief = boven MLWS, land wordt ontgraven). Celmethode met dieptezones (-18,20/-16,20/-13,70): 59.054.405 m3</t>
        </is>
      </c>
    </row>
    <row r="7" ht="27" customHeight="1">
      <c r="A7" s="9" t="n">
        <v>2</v>
      </c>
      <c r="B7" s="13" t="inlineStr">
        <is>
          <t>Geul tot DHN -15m</t>
        </is>
      </c>
      <c r="C7" s="43" t="n">
        <v>5280300</v>
      </c>
      <c r="D7" s="38" t="n">
        <v>12.54</v>
      </c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vanaf de mond tot de natuurlijke -15 m-lijn (24.000 m), 220 m breed; celmethode 29.904.700 m3</t>
        </is>
      </c>
    </row>
    <row r="8" ht="27" customHeight="1">
      <c r="A8" s="9" t="n">
        <v>3</v>
      </c>
      <c r="B8" s="13" t="inlineStr">
        <is>
          <t>Geul voorbij DHN -15m</t>
        </is>
      </c>
      <c r="C8" s="43" t="n">
        <v>2418300</v>
      </c>
      <c r="D8" s="38" t="n">
        <v>17.09</v>
      </c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DO: geul van de -15 m-lijn tot het geuleinde (35.000 m); celmethode 3.570.530 m3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3274200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8" t="n">
        <v>7.17</v>
      </c>
      <c r="E22" s="32" t="n"/>
      <c r="F22" s="32" t="inlineStr">
        <is>
          <t>Copernicus DEM GLO-30 (oppervlak incl. begroeiing) t.o.v. MLWS: overschat het maaiveld.</t>
        </is>
      </c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8" t="n">
        <v>5</v>
      </c>
      <c r="E23" s="32" t="n"/>
      <c r="F23" s="32" t="inlineStr">
        <is>
          <t>Aanname: terrein op +5,0 m MLWS (boven springtij + golfoploop, te toetsen).</t>
        </is>
      </c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8" t="n">
        <v>0.5</v>
      </c>
      <c r="E24" s="32" t="n"/>
      <c r="F24" s="32" t="inlineStr">
        <is>
          <t>Aanname. Celmethode: ophoging 154.096 m3, afgraving 7.173.117 m3 (terrein ligt grotendeels hoger dan +5,0 m).</t>
        </is>
      </c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D22" s="1" t="inlineStr">
        <is>
          <t>Vastgelegd</t>
        </is>
      </c>
      <c r="E22" s="1" t="inlineStr">
        <is>
          <t>Besluitenlijst B01; vervolg: Ligging van de havenas op het terrein afstemmen met het bouwterrein fase 1 / masterplan.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Havenvorm en programma</t>
        </is>
      </c>
      <c r="C23" s="1" t="inlineStr">
        <is>
          <t>DO: de vorm van de render blijft: gebogen dammen, ingang naar het OZO, hoofdbekken langs de noordkade, twee schuine vingers met insteekbekkens en het tankpark langs de zuidrand. Er staan alleen functies uit de opdracht in: containers (vinger 6), droge bulk/graan (noordkade), voertuigen/RoRo (vinger 7/8), LNG en de centrale (zuidrand). Erts, werf, industrie en olie zijn weggelaten; de overige ruimte op vinger 7/8 en de tweede insteek zijn uitbreidingsruimte voor de eigen ladingstromen na 2045.</t>
        </is>
      </c>
      <c r="D23" s="1" t="inlineStr">
        <is>
          <t>Vastgelegd</t>
        </is>
      </c>
      <c r="E23" s="1" t="inlineStr">
        <is>
          <t>Besluitenlijst B02; vervolg: Uitbreidingsruimte apart onderbouwen als de groei na 2045 aan de orde komt.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Havenmond</t>
        </is>
      </c>
      <c r="C24" s="1" t="inlineStr">
        <is>
          <t>DO: dammen verlegd, 350 m vrij tussen de golfbrekerfootprints (90 m breed).</t>
        </is>
      </c>
      <c r="D24" s="1" t="inlineStr">
        <is>
          <t>Verwerkt</t>
        </is>
      </c>
      <c r="E24" s="1" t="inlineStr">
        <is>
          <t>Besluitenlijst B03; vervolg: Na golfbrekerontwerp (kruin, taluds) footprint en vrije breedte opnieuw meten.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Manoeuvreren met grote schepen</t>
        </is>
      </c>
      <c r="C25" s="1" t="inlineStr">
        <is>
          <t>DO: containerkade aan de westzijde van vinger 6, in het insteekbekken. Golftoets (DO-09): aan de oostzijde (voorhaven) wordt Hs 1,66 m (grens 0,5 m), in de insteek 0,01 m. Containerschepen varen met sleepboten door de draaikom (D 720 m) het hoofdbekken in, zwaaien op de zwaaiplaats binnenhaven (D 500 m = 1,5 LOA, met sleepboten; het hoofdbekken is daar verbreed) en worden achteruit de insteek in gesleept, zodat ze met de kop naar buiten afmeren. De zwaaiplaats ligt 165 m vrij van afgemeerde schepen en 91 m van de oever. Draaikom voorhaven 416 m vrij; stopweg 1.720 m = 5,1 LOA.</t>
        </is>
      </c>
      <c r="D25" s="1" t="inlineStr">
        <is>
          <t>Verwerkt</t>
        </is>
      </c>
      <c r="E25" s="1" t="inlineStr">
        <is>
          <t>Besluitenlijst B04; vervolg: Toetsen met bochtstralen uit PIANC WG121 en een nautische simulatie met sleepboten.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Toegangsgeul en sleepboten</t>
        </is>
      </c>
      <c r="C26" s="1" t="inlineStr">
        <is>
          <t>DO: rechte geul 220 m, -18,20 m MLWS, in het verlengde van de havenmond; koppelpunt 1.500 m buiten de mond (A4). Bodemmodel uit GEBCO 2026 + Copernicus DEM (DO-10): het kustplateau is vlak (-13 tot -17 m); de natuurlijke bodem is pas op 35.000 m overal dieper dan -18,2 m MLWS (-15 m op 24.000 m). Geul daarom 35 km lang; zone 2/3 gesplitst op de -15 m-lijn.</t>
        </is>
      </c>
      <c r="D26" s="1" t="inlineStr">
        <is>
          <t>Deels open</t>
        </is>
      </c>
      <c r="E26" s="1" t="inlineStr">
        <is>
          <t>Besluitenlijst B05; vervolg: Multibeampeiling langs het tracé; MLWS-DHN koppelen; geul eventueel gefaseerd (eerst -15,5 m, getijvenster).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LNG-steiger achter het midden van de zuidelijke dam (golftoets Hs 0,90 m &lt; 1,0 m; bij de havenmond 1,08 m). Tanks oostelijk in de LNG-zone: cryogene leiding ca. 1,4 km. Veiligheidszone 250 m rond schip/steiger en rond de tanks, nautische controlezone 500 m (Hong Kong LNG-terminal; literatuur 250-750 m): geen andere schepen of gebouwen in de 250 m-zones; draaikom 626 m buiten de zone, containerterrein 46 m buiten de tankzone. Ligplaats en vaarweg -16,20 m MLWS.</t>
        </is>
      </c>
      <c r="D27" s="1" t="inlineStr">
        <is>
          <t>Verwerkt / QRA open</t>
        </is>
      </c>
      <c r="E27" s="1" t="inlineStr">
        <is>
          <t>Besluitenlijst B06; vervolg: QRA (plaatsgebonden en groepsrisico) en definitieve zones; N-1-voorraadbeleid kiezen.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Droge bulk (graan) en RoRo</t>
        </is>
      </c>
      <c r="C28" s="1" t="inlineStr">
        <is>
          <t>DO: graan 30,4 ha aan de noordkade (render 10) met silo en transportband; RoRo 30,2 ha in de noordoosthoek van vinger 7/8 met kade aan het insteekbekken; ieder een kade van 300 m en een eigen poort.</t>
        </is>
      </c>
      <c r="D28" s="1" t="inlineStr">
        <is>
          <t>Verwerkt</t>
        </is>
      </c>
      <c r="E28" s="1" t="inlineStr">
        <is>
          <t>Besluitenlijst B07; vervolg: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containers fase 1 aan de noordkop (C1-C2), de kade groeit zuidwaarts langs de westzijde van vinger 6; gebaggerd 118,9 / 141,9 / 165,0 ha; insteek zuid, hoofdbekken west en tweede insteek (122,1 ha) pas na 2045.</t>
        </is>
      </c>
      <c r="D29" s="1" t="inlineStr">
        <is>
          <t>Verwerkt</t>
        </is>
      </c>
      <c r="E29" s="1" t="inlineStr">
        <is>
          <t>Besluitenlijst B08; vervolg: Bouwmethode uitbreiding naast werkende kade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43,5 ha naast de LNG-zone langs de zuidrand; gasleiding naar het regionale net; koelwater indicatief.</t>
        </is>
      </c>
      <c r="D30" s="1" t="inlineStr">
        <is>
          <t>Reservering</t>
        </is>
      </c>
      <c r="E30" s="1" t="inlineStr">
        <is>
          <t>Besluitenlijst B09; vervolg: Vermogen/proceskeuze vaststellen; recirculatie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noordweg langs graan, RoRo en havendienst; zuidweg langs containerterrein, LNG en centrale; beide aangesloten op het regionale net aan de westzijde, met spoor.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Celmethode (30 m) op het bodemmodel: zone 1 59,1, zone 2 29,9, zone 3 3,6 mln m3 (totaal 92,5 mln m3). Dieptezones per scheepstype (diepgang + 3,7 m): containers/graan -18,20, LNG -16,20, RoRo -13,70 m MLWS; besparing 0,75 mln m3. Ontwerpbodem per dieptezone als LandXML-oppervlak voor Civil 3D.</t>
        </is>
      </c>
      <c r="D33" s="1" t="inlineStr">
        <is>
          <t>Indicatief</t>
        </is>
      </c>
      <c r="E33" s="1" t="inlineStr">
        <is>
          <t>Besluitenlijst B12; vervolg: Na peiling herberekenen (Volumes Dashboard); grondsoorten uit boringen.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35000</v>
      </c>
      <c r="E5" t="inlineStr">
        <is>
          <t>Nautiek D31</t>
        </is>
      </c>
      <c r="F5" t="inlineStr">
        <is>
          <t>GEBCO, geen peiling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36720</v>
      </c>
      <c r="E6" t="inlineStr">
        <is>
          <t>Nautiek D31</t>
        </is>
      </c>
      <c r="F6" t="inlineStr">
        <is>
          <t>GEBCO, geen peiling</t>
        </is>
      </c>
    </row>
    <row r="7">
      <c r="A7" t="inlineStr">
        <is>
          <t>Vrije draaikom voorhaven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416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397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1720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802.1921820131856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1203.288273019332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1604.384364026371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30.4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30.2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Zwaaiplaats binnenhaven (met sleepboten)</t>
        </is>
      </c>
      <c r="B23" t="inlineStr">
        <is>
          <t>m</t>
        </is>
      </c>
      <c r="C23" t="n">
        <v>500</v>
      </c>
      <c r="D23" t="n">
        <v>501</v>
      </c>
      <c r="E23" t="inlineStr">
        <is>
          <t>1,5 x LOA container</t>
        </is>
      </c>
      <c r="F23" t="inlineStr">
        <is>
          <t>vrij getoetst</t>
        </is>
      </c>
    </row>
    <row r="24">
      <c r="A24" t="inlineStr">
        <is>
          <t xml:space="preserve">  afstand tot oever</t>
        </is>
      </c>
      <c r="B24" t="inlineStr">
        <is>
          <t>m</t>
        </is>
      </c>
      <c r="C24" t="n">
        <v>91</v>
      </c>
      <c r="D24" t="inlineStr">
        <is>
          <t>&gt;0</t>
        </is>
      </c>
      <c r="E24" t="inlineStr"/>
      <c r="F24" t="inlineStr">
        <is>
          <t>voldoet</t>
        </is>
      </c>
    </row>
    <row r="25">
      <c r="A25" t="inlineStr">
        <is>
          <t>Dieptezone LNG-vaarweg en -ligplaats</t>
        </is>
      </c>
      <c r="B25" t="inlineStr">
        <is>
          <t>m MLWS</t>
        </is>
      </c>
      <c r="C25" t="n">
        <v>-16.2</v>
      </c>
      <c r="D25" t="n">
        <v>-16.2</v>
      </c>
      <c r="E25" t="inlineStr">
        <is>
          <t>diepgang 12,5 + 3,7</t>
        </is>
      </c>
      <c r="F25" t="inlineStr">
        <is>
          <t>bespaart bagger</t>
        </is>
      </c>
    </row>
    <row r="26">
      <c r="A26" t="inlineStr">
        <is>
          <t>Dieptezone RoRo-ligplaats</t>
        </is>
      </c>
      <c r="B26" t="inlineStr">
        <is>
          <t>m MLWS</t>
        </is>
      </c>
      <c r="C26" t="n">
        <v>-13.7</v>
      </c>
      <c r="D26" t="n">
        <v>-13.7</v>
      </c>
      <c r="E26" t="inlineStr">
        <is>
          <t>diepgang 10,0 + 3,7</t>
        </is>
      </c>
      <c r="F26" t="inlineStr">
        <is>
          <t>bespaart bagger</t>
        </is>
      </c>
    </row>
    <row r="27">
      <c r="A27" t="inlineStr">
        <is>
          <t>Golftoets containers (Hs insteek)</t>
        </is>
      </c>
      <c r="B27" t="inlineStr">
        <is>
          <t>m</t>
        </is>
      </c>
      <c r="C27" t="n">
        <v>0.01</v>
      </c>
      <c r="D27" t="n">
        <v>0.5</v>
      </c>
      <c r="E27" t="inlineStr">
        <is>
          <t>DO-09</t>
        </is>
      </c>
      <c r="F27" t="inlineStr">
        <is>
          <t>voldoet</t>
        </is>
      </c>
    </row>
    <row r="28">
      <c r="A28" t="inlineStr">
        <is>
          <t>Golftoets graan (Hs)</t>
        </is>
      </c>
      <c r="B28" t="inlineStr">
        <is>
          <t>m</t>
        </is>
      </c>
      <c r="C28" t="n">
        <v>0.73</v>
      </c>
      <c r="D28" t="n">
        <v>1</v>
      </c>
      <c r="E28" t="inlineStr">
        <is>
          <t>DO-09</t>
        </is>
      </c>
      <c r="F28" t="inlineStr">
        <is>
          <t>voldoet</t>
        </is>
      </c>
    </row>
    <row r="29">
      <c r="A29" t="inlineStr">
        <is>
          <t>Golftoets RoRo (Hs)</t>
        </is>
      </c>
      <c r="B29" t="inlineStr">
        <is>
          <t>m</t>
        </is>
      </c>
      <c r="C29" t="n">
        <v>0.03</v>
      </c>
      <c r="D29" t="n">
        <v>0.3</v>
      </c>
      <c r="E29" t="inlineStr">
        <is>
          <t>DO-09</t>
        </is>
      </c>
      <c r="F29" t="inlineStr">
        <is>
          <t>voldoet</t>
        </is>
      </c>
    </row>
    <row r="30">
      <c r="A30" t="inlineStr">
        <is>
          <t>Golftoets LNG (Hs)</t>
        </is>
      </c>
      <c r="B30" t="inlineStr">
        <is>
          <t>m</t>
        </is>
      </c>
      <c r="C30" t="n">
        <v>0.9</v>
      </c>
      <c r="D30" t="n">
        <v>1</v>
      </c>
      <c r="E30" t="inlineStr">
        <is>
          <t>DO-09</t>
        </is>
      </c>
      <c r="F30" t="inlineStr">
        <is>
          <t>voldoet</t>
        </is>
      </c>
    </row>
    <row r="31">
      <c r="A31" t="inlineStr">
        <is>
          <t>LNG cryogene leiding</t>
        </is>
      </c>
      <c r="B31" t="inlineStr">
        <is>
          <t>m</t>
        </is>
      </c>
      <c r="C31" t="n">
        <v>1353</v>
      </c>
      <c r="E31" t="inlineStr"/>
      <c r="F31" t="inlineStr">
        <is>
          <t>ingekort</t>
        </is>
      </c>
    </row>
    <row r="32">
      <c r="A32" t="inlineStr">
        <is>
          <t>Schepen in LNG-zone 250 m</t>
        </is>
      </c>
      <c r="B32" t="inlineStr">
        <is>
          <t>st</t>
        </is>
      </c>
      <c r="C32" t="n">
        <v>0</v>
      </c>
      <c r="D32" t="n">
        <v>0</v>
      </c>
      <c r="E32" t="inlineStr">
        <is>
          <t>Hong Kong LNG annex</t>
        </is>
      </c>
      <c r="F32" t="inlineStr">
        <is>
          <t>voldoet</t>
        </is>
      </c>
    </row>
    <row r="33">
      <c r="A33" t="inlineStr">
        <is>
          <t>Containerterrein tot tankzone 250 m</t>
        </is>
      </c>
      <c r="B33" t="inlineStr">
        <is>
          <t>m</t>
        </is>
      </c>
      <c r="C33" t="n">
        <v>46</v>
      </c>
      <c r="D33" t="inlineStr">
        <is>
          <t>&gt;0</t>
        </is>
      </c>
      <c r="E33" t="inlineStr"/>
      <c r="F33" t="inlineStr">
        <is>
          <t>voldoet; QRA volgt</t>
        </is>
      </c>
    </row>
    <row r="34">
      <c r="A34" t="inlineStr">
        <is>
          <t xml:space="preserve">  afstand tot afgemeerde schepen</t>
        </is>
      </c>
      <c r="B34" t="inlineStr">
        <is>
          <t>m</t>
        </is>
      </c>
      <c r="C34" t="n">
        <v>165</v>
      </c>
      <c r="D34" t="inlineStr">
        <is>
          <t>&gt;0</t>
        </is>
      </c>
      <c r="E34" t="inlineStr"/>
      <c r="F34" t="inlineStr">
        <is>
          <t>voldoet</t>
        </is>
      </c>
    </row>
    <row r="35">
      <c r="A35" t="inlineStr">
        <is>
          <t>LNG-ligplaatsenvelop</t>
        </is>
      </c>
      <c r="B35" t="inlineStr">
        <is>
          <t>m</t>
        </is>
      </c>
      <c r="C35" t="n">
        <v>400</v>
      </c>
      <c r="D35" t="n">
        <v>400</v>
      </c>
      <c r="E35" t="inlineStr">
        <is>
          <t>tekenbrief</t>
        </is>
      </c>
      <c r="F35" t="inlineStr">
        <is>
          <t>dolphins indicatief</t>
        </is>
      </c>
    </row>
    <row r="36">
      <c r="A36" t="inlineStr">
        <is>
          <t>LNG-envelop tot draaikom</t>
        </is>
      </c>
      <c r="B36" t="inlineStr">
        <is>
          <t>m</t>
        </is>
      </c>
      <c r="C36" t="n">
        <v>876</v>
      </c>
      <c r="D36" t="inlineStr">
        <is>
          <t>&gt;0</t>
        </is>
      </c>
      <c r="E36" t="inlineStr"/>
      <c r="F36" t="inlineStr">
        <is>
          <t>vrij; QRA volgt</t>
        </is>
      </c>
    </row>
    <row r="37">
      <c r="A37" t="inlineStr">
        <is>
          <t>LNG-tanks tot containerterrein</t>
        </is>
      </c>
      <c r="B37" t="inlineStr">
        <is>
          <t>m</t>
        </is>
      </c>
      <c r="C37" t="n">
        <v>296</v>
      </c>
      <c r="E37" t="inlineStr"/>
      <c r="F37" t="inlineStr">
        <is>
          <t>QRA volgt</t>
        </is>
      </c>
    </row>
    <row r="38">
      <c r="A38" t="inlineStr">
        <is>
          <t>LNG-zone (tanks + hervergassing)</t>
        </is>
      </c>
      <c r="B38" t="inlineStr">
        <is>
          <t>ha</t>
        </is>
      </c>
      <c r="C38" t="n">
        <v>36.3</v>
      </c>
      <c r="E38" t="inlineStr">
        <is>
          <t>Invoer D51-D52</t>
        </is>
      </c>
      <c r="F38" t="inlineStr">
        <is>
          <t>3 tanks + optie 4e</t>
        </is>
      </c>
    </row>
    <row r="39">
      <c r="A39" t="inlineStr">
        <is>
          <t>Centrale + utilities (reservering)</t>
        </is>
      </c>
      <c r="B39" t="inlineStr">
        <is>
          <t>ha</t>
        </is>
      </c>
      <c r="C39" t="n">
        <v>43.5</v>
      </c>
      <c r="E39" t="inlineStr">
        <is>
          <t>geen vast oppervlak</t>
        </is>
      </c>
      <c r="F39" t="inlineStr">
        <is>
          <t>reservering</t>
        </is>
      </c>
    </row>
    <row r="40">
      <c r="A40" t="inlineStr">
        <is>
          <t>STS-kranen F1 / F2 / F3</t>
        </is>
      </c>
      <c r="B40" t="inlineStr">
        <is>
          <t>st</t>
        </is>
      </c>
      <c r="C40" t="inlineStr">
        <is>
          <t>6 / 12 / 20</t>
        </is>
      </c>
      <c r="D40" t="inlineStr">
        <is>
          <t>6 / 12 / 20</t>
        </is>
      </c>
      <c r="E40" t="inlineStr">
        <is>
          <t>Containers D19-F19</t>
        </is>
      </c>
      <c r="F40" t="inlineStr">
        <is>
          <t>gelijk</t>
        </is>
      </c>
    </row>
    <row r="41">
      <c r="A41" t="inlineStr">
        <is>
          <t>TEU-grondslots stackzone F3 (28 m2/slot)</t>
        </is>
      </c>
      <c r="B41" t="inlineStr">
        <is>
          <t>slots</t>
        </is>
      </c>
      <c r="C41" t="n">
        <v>40558</v>
      </c>
      <c r="D41" t="n">
        <v>40444</v>
      </c>
      <c r="E41" t="inlineStr">
        <is>
          <t>Containers F25</t>
        </is>
      </c>
      <c r="F41" t="inlineStr">
        <is>
          <t>voldoet</t>
        </is>
      </c>
    </row>
    <row r="42">
      <c r="A42" t="inlineStr">
        <is>
          <t>Stackzone bruto</t>
        </is>
      </c>
      <c r="B42" t="inlineStr">
        <is>
          <t>ha</t>
        </is>
      </c>
      <c r="C42" t="n">
        <v>113.6</v>
      </c>
      <c r="D42" t="n">
        <v>113.2</v>
      </c>
      <c r="E42" t="inlineStr">
        <is>
          <t>Containers F26</t>
        </is>
      </c>
      <c r="F42" t="inlineStr">
        <is>
          <t>voldoet</t>
        </is>
      </c>
    </row>
    <row r="43">
      <c r="A43" t="inlineStr">
        <is>
          <t>Graansilo's 8 x D 30 m x 40 m</t>
        </is>
      </c>
      <c r="B43" t="inlineStr">
        <is>
          <t>t</t>
        </is>
      </c>
      <c r="C43" t="n">
        <v>169646</v>
      </c>
      <c r="D43" t="n">
        <v>154100</v>
      </c>
      <c r="E43" t="inlineStr">
        <is>
          <t>Overige terminals F9</t>
        </is>
      </c>
      <c r="F43" t="inlineStr">
        <is>
          <t>voldoet</t>
        </is>
      </c>
    </row>
    <row r="44">
      <c r="A44" t="inlineStr">
        <is>
          <t>RoRo-parkeercapaciteit</t>
        </is>
      </c>
      <c r="B44" t="inlineStr">
        <is>
          <t>auto's</t>
        </is>
      </c>
      <c r="C44" t="n">
        <v>9698</v>
      </c>
      <c r="D44" t="n">
        <v>7479</v>
      </c>
      <c r="E44" t="inlineStr">
        <is>
          <t>Overige terminals F15</t>
        </is>
      </c>
      <c r="F44" t="inlineStr">
        <is>
          <t>voldoet</t>
        </is>
      </c>
    </row>
    <row r="45">
      <c r="A45" t="inlineStr">
        <is>
          <t>Centrale STEG-eenheden</t>
        </is>
      </c>
      <c r="B45" t="inlineStr">
        <is>
          <t>MW</t>
        </is>
      </c>
      <c r="C45" t="n">
        <v>2260</v>
      </c>
      <c r="D45" t="n">
        <v>2256</v>
      </c>
      <c r="E45" t="inlineStr">
        <is>
          <t>Overige terminals F30</t>
        </is>
      </c>
      <c r="F45" t="inlineStr">
        <is>
          <t>rekenvoorbeeld</t>
        </is>
      </c>
    </row>
    <row r="46">
      <c r="A46" t="inlineStr">
        <is>
          <t>Havendiensten / sleepboten</t>
        </is>
      </c>
      <c r="B46" t="inlineStr">
        <is>
          <t>ha</t>
        </is>
      </c>
      <c r="C46" t="n">
        <v>43</v>
      </c>
      <c r="E46" t="inlineStr"/>
      <c r="F46" t="inlineStr">
        <is>
          <t>reservering</t>
        </is>
      </c>
    </row>
    <row r="47">
      <c r="A47" t="inlineStr">
        <is>
          <t>Vrije breedte hoofdbekken met graanschip aan de kade</t>
        </is>
      </c>
      <c r="B47" t="inlineStr">
        <is>
          <t>m</t>
        </is>
      </c>
      <c r="C47" t="n">
        <v>334</v>
      </c>
      <c r="D47" t="n">
        <v>220</v>
      </c>
      <c r="E47" t="inlineStr"/>
      <c r="F47" t="inlineStr">
        <is>
          <t>voldoet</t>
        </is>
      </c>
    </row>
    <row r="48">
      <c r="A48" t="inlineStr">
        <is>
          <t>Binnenbekken gebaggerd fase 1</t>
        </is>
      </c>
      <c r="B48" t="inlineStr">
        <is>
          <t>m2</t>
        </is>
      </c>
      <c r="C48" t="n">
        <v>1189081</v>
      </c>
      <c r="E48" t="inlineStr"/>
      <c r="F48" t="inlineStr"/>
    </row>
    <row r="49">
      <c r="A49" t="inlineStr">
        <is>
          <t>Binnenbekken gebaggerd fase 2 (cumulatief)</t>
        </is>
      </c>
      <c r="B49" t="inlineStr">
        <is>
          <t>m2</t>
        </is>
      </c>
      <c r="C49" t="n">
        <v>1419486</v>
      </c>
      <c r="E49" t="inlineStr"/>
      <c r="F49" t="inlineStr"/>
    </row>
    <row r="50">
      <c r="A50" t="inlineStr">
        <is>
          <t>Binnenbekken gebaggerd fase 3 (cumulatief)</t>
        </is>
      </c>
      <c r="B50" t="inlineStr">
        <is>
          <t>m2</t>
        </is>
      </c>
      <c r="C50" t="n">
        <v>1649890</v>
      </c>
      <c r="E50" t="inlineStr"/>
      <c r="F50" t="inlineStr"/>
    </row>
    <row r="51">
      <c r="A51" t="inlineStr">
        <is>
          <t>Voorhaven + LNG-insteek gebaggerd</t>
        </is>
      </c>
      <c r="B51" t="inlineStr">
        <is>
          <t>m2</t>
        </is>
      </c>
      <c r="C51" t="n">
        <v>1132971</v>
      </c>
      <c r="E51" t="inlineStr"/>
      <c r="F51" t="inlineStr"/>
    </row>
    <row r="52">
      <c r="A52" t="inlineStr">
        <is>
          <t>Havenbekken totaal (zone 1)</t>
        </is>
      </c>
      <c r="B52" t="inlineStr">
        <is>
          <t>m2</t>
        </is>
      </c>
      <c r="C52" t="n">
        <v>2782861</v>
      </c>
      <c r="E52" t="inlineStr">
        <is>
          <t>Grondwerk C6</t>
        </is>
      </c>
      <c r="F52" t="inlineStr">
        <is>
          <t>ingevuld</t>
        </is>
      </c>
    </row>
    <row r="53">
      <c r="A53" t="inlineStr">
        <is>
          <t>Geul buiten de mond (zone 2 + 3)</t>
        </is>
      </c>
      <c r="B53" t="inlineStr">
        <is>
          <t>m2</t>
        </is>
      </c>
      <c r="C53" t="n">
        <v>7700000</v>
      </c>
      <c r="E53" t="inlineStr">
        <is>
          <t>Grondwerk C7 + C8</t>
        </is>
      </c>
      <c r="F53" t="inlineStr">
        <is>
          <t>gesplitst op -15 m</t>
        </is>
      </c>
    </row>
    <row r="54">
      <c r="A54" t="inlineStr">
        <is>
          <t>Baggervolume zone 1 / 2 / 3</t>
        </is>
      </c>
      <c r="B54" t="inlineStr">
        <is>
          <t>mln m3</t>
        </is>
      </c>
      <c r="C54" t="inlineStr">
        <is>
          <t>59,1 / 29,9 / 3,6</t>
        </is>
      </c>
      <c r="E54" t="inlineStr">
        <is>
          <t>Grondwerk F6-F8</t>
        </is>
      </c>
      <c r="F54" t="inlineStr">
        <is>
          <t>celmethode, indicatief</t>
        </is>
      </c>
    </row>
    <row r="55">
      <c r="A55" t="inlineStr">
        <is>
          <t>Terreinophoging (terminals, LNG, centrale, havendienst)</t>
        </is>
      </c>
      <c r="B55" t="inlineStr">
        <is>
          <t>m2</t>
        </is>
      </c>
      <c r="C55" t="n">
        <v>3273444</v>
      </c>
      <c r="E55" t="inlineStr">
        <is>
          <t>Grondwerk D21</t>
        </is>
      </c>
      <c r="F55" t="inlineStr">
        <is>
          <t>ingevuld</t>
        </is>
      </c>
    </row>
    <row r="57">
      <c r="A57" t="inlineStr">
        <is>
          <t>Punt</t>
        </is>
      </c>
      <c r="B57" t="inlineStr">
        <is>
          <t>Omschrijving</t>
        </is>
      </c>
      <c r="C57" t="inlineStr">
        <is>
          <t>E (m)</t>
        </is>
      </c>
      <c r="D57" t="inlineStr">
        <is>
          <t>N (m)</t>
        </is>
      </c>
      <c r="E57" t="inlineStr">
        <is>
          <t>Lat</t>
        </is>
      </c>
      <c r="F57" t="inlineStr">
        <is>
          <t>Lon</t>
        </is>
      </c>
    </row>
    <row r="58">
      <c r="A58" t="inlineStr">
        <is>
          <t>A1</t>
        </is>
      </c>
      <c r="B58" t="inlineStr">
        <is>
          <t>Referentiepunt kust (render 812,5 / 275)</t>
        </is>
      </c>
      <c r="C58" t="n">
        <v>297135</v>
      </c>
      <c r="D58" t="n">
        <v>7650000</v>
      </c>
      <c r="E58" t="n">
        <v>-21.2403293</v>
      </c>
      <c r="F58" t="n">
        <v>-40.9548262</v>
      </c>
    </row>
    <row r="59">
      <c r="A59" t="inlineStr">
        <is>
          <t>A2</t>
        </is>
      </c>
      <c r="B59" t="inlineStr">
        <is>
          <t>Middelpunt vrije draaikom</t>
        </is>
      </c>
      <c r="C59" t="n">
        <v>297534.6</v>
      </c>
      <c r="D59" t="n">
        <v>7649611.92</v>
      </c>
      <c r="E59" t="n">
        <v>-21.2438783</v>
      </c>
      <c r="F59" t="n">
        <v>-40.9510234</v>
      </c>
    </row>
    <row r="60">
      <c r="A60" t="inlineStr">
        <is>
          <t>A3</t>
        </is>
      </c>
      <c r="B60" t="inlineStr">
        <is>
          <t>Midden havenmond</t>
        </is>
      </c>
      <c r="C60" t="n">
        <v>299233.15</v>
      </c>
      <c r="D60" t="n">
        <v>7649340.79</v>
      </c>
      <c r="E60" t="n">
        <v>-21.2465152</v>
      </c>
      <c r="F60" t="n">
        <v>-40.9346946</v>
      </c>
    </row>
    <row r="61">
      <c r="A61" t="inlineStr">
        <is>
          <t>A4</t>
        </is>
      </c>
      <c r="B61" t="inlineStr">
        <is>
          <t>Sleepbootkoppelpunt</t>
        </is>
      </c>
      <c r="C61" t="n">
        <v>300714.4</v>
      </c>
      <c r="D61" t="n">
        <v>7649104.35</v>
      </c>
      <c r="E61" t="n">
        <v>-21.2488135</v>
      </c>
      <c r="F61" t="n">
        <v>-40.9204543</v>
      </c>
    </row>
    <row r="62">
      <c r="A62" t="inlineStr">
        <is>
          <t>A5</t>
        </is>
      </c>
      <c r="B62" t="inlineStr">
        <is>
          <t>Eindpunt geul (voorlopig)</t>
        </is>
      </c>
      <c r="C62" t="n">
        <v>333795.61</v>
      </c>
      <c r="D62" t="n">
        <v>7643823.84</v>
      </c>
      <c r="E62" t="n">
        <v>-21.2998354</v>
      </c>
      <c r="F62" t="n">
        <v>-40.602281</v>
      </c>
    </row>
    <row r="63">
      <c r="A63" t="inlineStr">
        <is>
          <t>A6</t>
        </is>
      </c>
      <c r="B63" t="inlineStr">
        <is>
          <t>Wortel noordelijke golfbreker</t>
        </is>
      </c>
      <c r="C63" t="n">
        <v>297202.27</v>
      </c>
      <c r="D63" t="n">
        <v>7650918.75</v>
      </c>
      <c r="E63" t="n">
        <v>-21.2320404</v>
      </c>
      <c r="F63" t="n">
        <v>-40.9540689</v>
      </c>
    </row>
    <row r="64">
      <c r="A64" t="inlineStr">
        <is>
          <t>A7</t>
        </is>
      </c>
      <c r="B64" t="inlineStr">
        <is>
          <t>Wortel zuidelijke golfbreker</t>
        </is>
      </c>
      <c r="C64" t="n">
        <v>296285.1</v>
      </c>
      <c r="D64" t="n">
        <v>7647740.85</v>
      </c>
      <c r="E64" t="n">
        <v>-21.2606345</v>
      </c>
      <c r="F64" t="n">
        <v>-40.9632826</v>
      </c>
    </row>
    <row r="65">
      <c r="A65" t="inlineStr">
        <is>
          <t>A8</t>
        </is>
      </c>
      <c r="B65" t="inlineStr">
        <is>
          <t>Containerkade noordeinde</t>
        </is>
      </c>
      <c r="C65" t="n">
        <v>295982.49</v>
      </c>
      <c r="D65" t="n">
        <v>7649572.61</v>
      </c>
      <c r="E65" t="n">
        <v>-21.2440597</v>
      </c>
      <c r="F65" t="n">
        <v>-40.9659781</v>
      </c>
    </row>
    <row r="66">
      <c r="A66" t="inlineStr">
        <is>
          <t>A9</t>
        </is>
      </c>
      <c r="B66" t="inlineStr">
        <is>
          <t>Containerkade zuideinde</t>
        </is>
      </c>
      <c r="C66" t="n">
        <v>295525.07</v>
      </c>
      <c r="D66" t="n">
        <v>7648034.81</v>
      </c>
      <c r="E66" t="n">
        <v>-21.2578946</v>
      </c>
      <c r="F66" t="n">
        <v>-40.9705687</v>
      </c>
    </row>
    <row r="67">
      <c r="A67" t="inlineStr">
        <is>
          <t>A10</t>
        </is>
      </c>
      <c r="B67" t="inlineStr">
        <is>
          <t>LNG-steigerkop</t>
        </is>
      </c>
      <c r="C67" t="n">
        <v>297643.11</v>
      </c>
      <c r="D67" t="n">
        <v>7648245.24</v>
      </c>
      <c r="E67" t="n">
        <v>-21.2562317</v>
      </c>
      <c r="F67" t="n">
        <v>-40.9501407</v>
      </c>
    </row>
    <row r="68">
      <c r="A68" t="inlineStr">
        <is>
          <t>A11</t>
        </is>
      </c>
      <c r="B68" t="inlineStr">
        <is>
          <t>Graankade midden</t>
        </is>
      </c>
      <c r="C68" t="n">
        <v>296296.46</v>
      </c>
      <c r="D68" t="n">
        <v>7650045.75</v>
      </c>
      <c r="E68" t="n">
        <v>-21.2398224</v>
      </c>
      <c r="F68" t="n">
        <v>-40.9628973</v>
      </c>
    </row>
    <row r="69">
      <c r="A69" t="inlineStr">
        <is>
          <t>A12</t>
        </is>
      </c>
      <c r="B69" t="inlineStr">
        <is>
          <t>RoRo-kade midden</t>
        </is>
      </c>
      <c r="C69" t="n">
        <v>295265.72</v>
      </c>
      <c r="D69" t="n">
        <v>7649177.72</v>
      </c>
      <c r="E69" t="n">
        <v>-21.2475449</v>
      </c>
      <c r="F69" t="n">
        <v>-40.9729295</v>
      </c>
    </row>
    <row r="70">
      <c r="A70" t="inlineStr">
        <is>
          <t>A13</t>
        </is>
      </c>
      <c r="B70" t="inlineStr">
        <is>
          <t>Middelpunt draaikom binnenhaven</t>
        </is>
      </c>
      <c r="C70" t="n">
        <v>295569.79</v>
      </c>
      <c r="D70" t="n">
        <v>7649774.96</v>
      </c>
      <c r="E70" t="n">
        <v>-21.242186</v>
      </c>
      <c r="F70" t="n">
        <v>-40.969929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2026-10-22T12:26:20Z</dcterms:created>
  <dcterms:modified xmlns:dcterms="http://purl.org/dc/terms/" xmlns:xsi="http://www.w3.org/2001/XMLSchema-instance" xsi:type="dcterms:W3CDTF">2026-10-22T12:26:20Z</dcterms:modified>
</cp:coreProperties>
</file>