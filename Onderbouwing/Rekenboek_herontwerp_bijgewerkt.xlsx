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sultaten" sheetId="1" state="visible" r:id="rId1"/>
    <sheet xmlns:r="http://schemas.openxmlformats.org/officeDocument/2006/relationships" name="Invoer" sheetId="2" state="visible" r:id="rId2"/>
    <sheet xmlns:r="http://schemas.openxmlformats.org/officeDocument/2006/relationships" name="Nautiek" sheetId="3" state="visible" r:id="rId3"/>
    <sheet xmlns:r="http://schemas.openxmlformats.org/officeDocument/2006/relationships" name="Containers" sheetId="4" state="visible" r:id="rId4"/>
    <sheet xmlns:r="http://schemas.openxmlformats.org/officeDocument/2006/relationships" name="Overige terminals" sheetId="5" state="visible" r:id="rId5"/>
    <sheet xmlns:r="http://schemas.openxmlformats.org/officeDocument/2006/relationships" name="Grondwerk" sheetId="6" state="visible" r:id="rId6"/>
    <sheet xmlns:r="http://schemas.openxmlformats.org/officeDocument/2006/relationships" name="Afweging" sheetId="7" state="visible" r:id="rId7"/>
    <sheet xmlns:r="http://schemas.openxmlformats.org/officeDocument/2006/relationships" name="Keuzes" sheetId="8" state="visible" r:id="rId8"/>
    <sheet xmlns:r="http://schemas.openxmlformats.org/officeDocument/2006/relationships" name="Tekening_D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000"/>
    <numFmt numFmtId="167" formatCode="0.000"/>
  </numFmts>
  <fonts count="8">
    <font>
      <name val="Carlito"/>
      <sz val="11"/>
    </font>
    <font>
      <name val="Arial"/>
      <color rgb="FF263640"/>
      <sz val="10"/>
    </font>
    <font>
      <name val="Arial"/>
      <b val="1"/>
      <color rgb="FF23445E"/>
      <sz val="15"/>
    </font>
    <font>
      <name val="Arial"/>
      <b val="1"/>
      <color rgb="FFFFFFFF"/>
      <sz val="10"/>
    </font>
    <font>
      <name val="Arial"/>
      <color rgb="FF263640"/>
      <sz val="8"/>
    </font>
    <font>
      <name val="Arial"/>
      <b val="1"/>
      <color rgb="FF23445E"/>
      <sz val="10"/>
    </font>
    <font>
      <b val="1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FF23445E"/>
      </patternFill>
    </fill>
    <fill>
      <patternFill patternType="solid">
        <fgColor rgb="FFFFF2CC"/>
      </patternFill>
    </fill>
    <fill>
      <patternFill patternType="solid">
        <fgColor rgb="FFE8EFF4"/>
      </patternFill>
    </fill>
    <fill>
      <patternFill patternType="solid">
        <fgColor rgb="FFFFFFFF"/>
      </patternFill>
    </fill>
    <fill>
      <patternFill patternType="solid">
        <fgColor rgb="00FFF3B0"/>
      </patternFill>
    </fill>
  </fills>
  <borders count="2">
    <border>
      <left/>
      <right/>
      <top/>
      <bottom/>
      <diagonal/>
    </border>
    <border>
      <left/>
      <right/>
      <top/>
      <bottom style="thin">
        <color rgb="FF23445E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pivotButton="0" quotePrefix="0" xfId="0"/>
    <xf numFmtId="0" fontId="1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1" fillId="3" borderId="0" pivotButton="0" quotePrefix="0" xfId="0"/>
    <xf numFmtId="0" fontId="3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164" fontId="1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165" fontId="1" fillId="3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1" fillId="4" borderId="0" pivotButton="0" quotePrefix="0" xfId="0"/>
    <xf numFmtId="0" fontId="5" fillId="4" borderId="0" pivotButton="0" quotePrefix="0" xfId="0"/>
    <xf numFmtId="0" fontId="1" fillId="0" borderId="0" applyAlignment="1" pivotButton="0" quotePrefix="0" xfId="0">
      <alignment wrapText="1"/>
    </xf>
    <xf numFmtId="164" fontId="1" fillId="0" borderId="0" pivotButton="0" quotePrefix="0" xfId="0"/>
    <xf numFmtId="0" fontId="5" fillId="4" borderId="0" applyAlignment="1" pivotButton="0" quotePrefix="0" xfId="0">
      <alignment vertical="center"/>
    </xf>
    <xf numFmtId="164" fontId="5" fillId="4" borderId="0" applyAlignment="1" pivotButton="0" quotePrefix="0" xfId="0">
      <alignment vertical="center"/>
    </xf>
    <xf numFmtId="164" fontId="3" fillId="2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0" fontId="1" fillId="5" borderId="0" applyAlignment="1" pivotButton="0" quotePrefix="0" xfId="0">
      <alignment vertical="center"/>
    </xf>
    <xf numFmtId="167" fontId="1" fillId="0" borderId="0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9" fontId="1" fillId="3" borderId="0" pivotButton="0" quotePrefix="0" xfId="0"/>
    <xf numFmtId="9" fontId="1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164" fontId="5" fillId="4" borderId="0" applyAlignment="1" pivotButton="0" quotePrefix="0" xfId="0">
      <alignment vertical="center"/>
    </xf>
    <xf numFmtId="164" fontId="1" fillId="3" borderId="0" applyAlignment="1" pivotButton="0" quotePrefix="0" xfId="0">
      <alignment vertical="center"/>
    </xf>
    <xf numFmtId="165" fontId="1" fillId="3" borderId="0" applyAlignment="1" pivotButton="0" quotePrefix="0" xfId="0">
      <alignment vertical="center"/>
    </xf>
    <xf numFmtId="167" fontId="1" fillId="0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3" fillId="2" borderId="0" applyAlignment="1" pivotButton="0" quotePrefix="0" xfId="0">
      <alignment vertical="center" wrapText="1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164" fontId="1" fillId="0" borderId="0" pivotButton="0" quotePrefix="0" xfId="0"/>
    <xf numFmtId="0" fontId="1" fillId="6" borderId="0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9" fontId="1" fillId="3" borderId="0" applyAlignment="1" pivotButton="0" quotePrefix="0" xfId="0">
      <alignment vertic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/>
  </cellStyles>
  <dxfs count="3">
    <dxf>
      <font>
        <b val="1"/>
        <color rgb="FF9A2323"/>
      </font>
      <fill>
        <patternFill patternType="solid">
          <bgColor rgb="FFFBE4E4"/>
        </patternFill>
      </fill>
    </dxf>
    <dxf>
      <font>
        <b val="1"/>
        <color rgb="FF9A2323"/>
      </font>
      <fill>
        <patternFill patternType="solid">
          <bgColor rgb="FFFBE4E4"/>
        </patternFill>
      </fill>
    </dxf>
    <dxf>
      <font>
        <b val="1"/>
        <color rgb="FF9A2323"/>
      </font>
      <fill>
        <patternFill patternType="solid">
          <bgColor rgb="FFFBE4E4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23445E"/>
    <outlinePr summaryBelow="1" summaryRight="1"/>
    <pageSetUpPr/>
  </sheetPr>
  <dimension ref="A1:H10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8" customWidth="1" min="3" max="3"/>
    <col width="17" customWidth="1" min="4" max="4"/>
    <col width="17" customWidth="1" min="5" max="5"/>
    <col width="17" customWidth="1" min="6" max="6"/>
    <col width="24" customWidth="1" min="7" max="7"/>
    <col width="68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Havenontwerp Groep 1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27" customHeight="1">
      <c r="A5" s="8" t="inlineStr">
        <is>
          <t>Ref</t>
        </is>
      </c>
      <c r="B5" s="8" t="inlineStr">
        <is>
          <t>Ontwerpresultaat</t>
        </is>
      </c>
      <c r="C5" s="8" t="inlineStr">
        <is>
          <t>Eenheid</t>
        </is>
      </c>
      <c r="D5" s="8" t="inlineStr">
        <is>
          <t>2025</t>
        </is>
      </c>
      <c r="E5" s="8" t="inlineStr">
        <is>
          <t>2035</t>
        </is>
      </c>
      <c r="F5" s="8" t="inlineStr">
        <is>
          <t>2045</t>
        </is>
      </c>
      <c r="G5" s="8" t="inlineStr">
        <is>
          <t>Betekenis</t>
        </is>
      </c>
      <c r="H5" s="9" t="n"/>
    </row>
    <row r="6" ht="27" customHeight="1">
      <c r="A6" s="9" t="inlineStr">
        <is>
          <t>R01</t>
        </is>
      </c>
      <c r="B6" s="13" t="inlineStr">
        <is>
          <t>Containerligplaatsen vereist</t>
        </is>
      </c>
      <c r="C6" s="9" t="inlineStr">
        <is>
          <t>aantal</t>
        </is>
      </c>
      <c r="D6" s="32">
        <f>'Containers'!D15</f>
        <v/>
      </c>
      <c r="E6" s="32">
        <f>'Containers'!E15</f>
        <v/>
      </c>
      <c r="F6" s="32">
        <f>'Containers'!F15</f>
        <v/>
      </c>
      <c r="G6" s="9" t="n"/>
      <c r="H6" s="9" t="n"/>
    </row>
    <row r="7" ht="27" customHeight="1">
      <c r="A7" s="9" t="inlineStr">
        <is>
          <t>R02</t>
        </is>
      </c>
      <c r="B7" s="13" t="inlineStr">
        <is>
          <t>Containerligplaatsen gepland</t>
        </is>
      </c>
      <c r="C7" s="9" t="inlineStr">
        <is>
          <t>aantal</t>
        </is>
      </c>
      <c r="D7" s="32">
        <f>'Containers'!D16</f>
        <v/>
      </c>
      <c r="E7" s="32">
        <f>'Containers'!E16</f>
        <v/>
      </c>
      <c r="F7" s="32">
        <f>'Containers'!F16</f>
        <v/>
      </c>
      <c r="G7" s="9" t="n"/>
      <c r="H7" s="9" t="n"/>
    </row>
    <row r="8" ht="27" customHeight="1">
      <c r="A8" s="9" t="inlineStr">
        <is>
          <t>R03</t>
        </is>
      </c>
      <c r="B8" s="13" t="inlineStr">
        <is>
          <t>Bezetting containerkade</t>
        </is>
      </c>
      <c r="C8" s="9" t="inlineStr">
        <is>
          <t>deel</t>
        </is>
      </c>
      <c r="D8" s="33">
        <f>'Containers'!D17</f>
        <v/>
      </c>
      <c r="E8" s="33">
        <f>'Containers'!E17</f>
        <v/>
      </c>
      <c r="F8" s="33">
        <f>'Containers'!F17</f>
        <v/>
      </c>
      <c r="G8" s="9" t="n"/>
      <c r="H8" s="9" t="n"/>
    </row>
    <row r="9" ht="27" customHeight="1">
      <c r="A9" s="9" t="inlineStr">
        <is>
          <t>R04</t>
        </is>
      </c>
      <c r="B9" s="13" t="inlineStr">
        <is>
          <t>Containerkade gepland</t>
        </is>
      </c>
      <c r="C9" s="9" t="inlineStr">
        <is>
          <t>m</t>
        </is>
      </c>
      <c r="D9" s="32">
        <f>'Containers'!D18</f>
        <v/>
      </c>
      <c r="E9" s="32">
        <f>'Containers'!E18</f>
        <v/>
      </c>
      <c r="F9" s="32">
        <f>'Containers'!F18</f>
        <v/>
      </c>
      <c r="G9" s="9" t="n"/>
      <c r="H9" s="9" t="n"/>
    </row>
    <row r="10" ht="27" customHeight="1">
      <c r="A10" s="9" t="inlineStr">
        <is>
          <t>R05</t>
        </is>
      </c>
      <c r="B10" s="13" t="inlineStr">
        <is>
          <t>STS-kranen gelijktijdig</t>
        </is>
      </c>
      <c r="C10" s="9" t="inlineStr">
        <is>
          <t>aantal</t>
        </is>
      </c>
      <c r="D10" s="32">
        <f>'Containers'!D19</f>
        <v/>
      </c>
      <c r="E10" s="32">
        <f>'Containers'!E19</f>
        <v/>
      </c>
      <c r="F10" s="32">
        <f>'Containers'!F19</f>
        <v/>
      </c>
      <c r="G10" s="9" t="n"/>
      <c r="H10" s="9" t="n"/>
    </row>
    <row r="11" ht="27" customHeight="1">
      <c r="A11" s="9" t="inlineStr">
        <is>
          <t>R06</t>
        </is>
      </c>
      <c r="B11" s="13" t="inlineStr">
        <is>
          <t>Containerterrein nodig</t>
        </is>
      </c>
      <c r="C11" s="9" t="inlineStr">
        <is>
          <t>ha</t>
        </is>
      </c>
      <c r="D11" s="32">
        <f>'Containers'!D27</f>
        <v/>
      </c>
      <c r="E11" s="32">
        <f>'Containers'!E27</f>
        <v/>
      </c>
      <c r="F11" s="32">
        <f>'Containers'!F27</f>
        <v/>
      </c>
      <c r="G11" s="9" t="n"/>
      <c r="H11" s="9" t="n"/>
    </row>
    <row r="12" ht="27" customHeight="1">
      <c r="A12" s="9" t="inlineStr">
        <is>
          <t>R07</t>
        </is>
      </c>
      <c r="B12" s="13" t="inlineStr">
        <is>
          <t>Containerterrein reservering</t>
        </is>
      </c>
      <c r="C12" s="9" t="inlineStr">
        <is>
          <t>ha</t>
        </is>
      </c>
      <c r="D12" s="32">
        <f>'Containers'!D28</f>
        <v/>
      </c>
      <c r="E12" s="32">
        <f>'Containers'!E28</f>
        <v/>
      </c>
      <c r="F12" s="32">
        <f>'Containers'!F28</f>
        <v/>
      </c>
      <c r="G12" s="9" t="n"/>
      <c r="H12" s="9" t="n"/>
    </row>
    <row r="13" ht="27" customHeight="1">
      <c r="A13" s="9" t="inlineStr">
        <is>
          <t>R08</t>
        </is>
      </c>
      <c r="B13" s="13" t="inlineStr">
        <is>
          <t>Graanopslag nodig</t>
        </is>
      </c>
      <c r="C13" s="9" t="inlineStr">
        <is>
          <t>ha</t>
        </is>
      </c>
      <c r="D13" s="32">
        <f>'Overige terminals'!D10</f>
        <v/>
      </c>
      <c r="E13" s="32">
        <f>'Overige terminals'!E10</f>
        <v/>
      </c>
      <c r="F13" s="32">
        <f>'Overige terminals'!F10</f>
        <v/>
      </c>
      <c r="G13" s="9" t="n"/>
      <c r="H13" s="9" t="n"/>
    </row>
    <row r="14" ht="27" customHeight="1">
      <c r="A14" s="9" t="inlineStr">
        <is>
          <t>R09</t>
        </is>
      </c>
      <c r="B14" s="13" t="inlineStr">
        <is>
          <t>RoRo terrein nodig</t>
        </is>
      </c>
      <c r="C14" s="9" t="inlineStr">
        <is>
          <t>ha</t>
        </is>
      </c>
      <c r="D14" s="32">
        <f>'Overige terminals'!D16</f>
        <v/>
      </c>
      <c r="E14" s="32">
        <f>'Overige terminals'!E16</f>
        <v/>
      </c>
      <c r="F14" s="32">
        <f>'Overige terminals'!F16</f>
        <v/>
      </c>
      <c r="G14" s="9" t="n"/>
      <c r="H14" s="9" t="n"/>
    </row>
    <row r="15" ht="27" customHeight="1">
      <c r="A15" s="9" t="inlineStr">
        <is>
          <t>R10</t>
        </is>
      </c>
      <c r="B15" s="13" t="inlineStr">
        <is>
          <t>LNG-calls afgerond</t>
        </is>
      </c>
      <c r="C15" s="9" t="inlineStr">
        <is>
          <t>calls/jaar</t>
        </is>
      </c>
      <c r="D15" s="32">
        <f>'Overige terminals'!D19</f>
        <v/>
      </c>
      <c r="E15" s="32">
        <f>'Overige terminals'!E19</f>
        <v/>
      </c>
      <c r="F15" s="32">
        <f>'Overige terminals'!F19</f>
        <v/>
      </c>
      <c r="G15" s="9" t="n"/>
      <c r="H15" s="9" t="n"/>
    </row>
    <row r="16" ht="27" customHeight="1">
      <c r="A16" s="9" t="inlineStr">
        <is>
          <t>R11</t>
        </is>
      </c>
      <c r="B16" s="13" t="inlineStr">
        <is>
          <t>LNG opslagmarge</t>
        </is>
      </c>
      <c r="C16" s="9" t="inlineStr">
        <is>
          <t>m3</t>
        </is>
      </c>
      <c r="D16" s="32">
        <f>'Overige terminals'!D25</f>
        <v/>
      </c>
      <c r="E16" s="32">
        <f>'Overige terminals'!E25</f>
        <v/>
      </c>
      <c r="F16" s="32">
        <f>'Overige terminals'!F25</f>
        <v/>
      </c>
      <c r="G16" s="9" t="n"/>
      <c r="H16" s="9" t="n"/>
    </row>
    <row r="17" ht="27" customHeight="1">
      <c r="A17" s="9" t="inlineStr">
        <is>
          <t>R12</t>
        </is>
      </c>
      <c r="B17" s="13" t="inlineStr">
        <is>
          <t>LNG opslagmarge bij tank uit</t>
        </is>
      </c>
      <c r="C17" s="9" t="inlineStr">
        <is>
          <t>m3</t>
        </is>
      </c>
      <c r="D17" s="32">
        <f>'Overige terminals'!D27</f>
        <v/>
      </c>
      <c r="E17" s="32">
        <f>'Overige terminals'!E27</f>
        <v/>
      </c>
      <c r="F17" s="32">
        <f>'Overige terminals'!F27</f>
        <v/>
      </c>
      <c r="G17" s="9" t="n"/>
      <c r="H17" s="9" t="n"/>
    </row>
    <row r="18" ht="27" customHeight="1">
      <c r="A18" s="9" t="inlineStr">
        <is>
          <t>R13</t>
        </is>
      </c>
      <c r="B18" s="13" t="inlineStr">
        <is>
          <t>Centrale vermogen voorbeeld</t>
        </is>
      </c>
      <c r="C18" s="9" t="inlineStr">
        <is>
          <t>MW</t>
        </is>
      </c>
      <c r="D18" s="32">
        <f>'Overige terminals'!D30</f>
        <v/>
      </c>
      <c r="E18" s="32">
        <f>'Overige terminals'!E30</f>
        <v/>
      </c>
      <c r="F18" s="32">
        <f>'Overige terminals'!F30</f>
        <v/>
      </c>
      <c r="G18" s="9" t="n"/>
      <c r="H18" s="9" t="n"/>
    </row>
    <row r="19" ht="27" customHeight="1">
      <c r="A19" s="9" t="n"/>
      <c r="B19" s="13" t="n"/>
      <c r="C19" s="9" t="n"/>
      <c r="D19" s="32" t="n"/>
      <c r="E19" s="32" t="n"/>
      <c r="F19" s="32" t="n"/>
      <c r="G19" s="9" t="n"/>
      <c r="H19" s="9" t="n"/>
    </row>
    <row r="20" ht="27" customHeight="1">
      <c r="A20" s="9" t="n"/>
      <c r="B20" s="13" t="n"/>
      <c r="C20" s="9" t="n"/>
      <c r="D20" s="32" t="n"/>
      <c r="E20" s="32" t="n"/>
      <c r="F20" s="32" t="n"/>
      <c r="G20" s="9" t="n"/>
      <c r="H20" s="9" t="n"/>
    </row>
    <row r="21" ht="27" customHeight="1">
      <c r="A21" s="23" t="inlineStr">
        <is>
          <t>Nautische ruimtereservering voor je eigen tekening</t>
        </is>
      </c>
      <c r="B21" s="26" t="n"/>
      <c r="C21" s="23" t="n"/>
      <c r="D21" s="34" t="n"/>
      <c r="E21" s="34" t="n"/>
      <c r="F21" s="34" t="n"/>
      <c r="G21" s="23" t="n"/>
      <c r="H21" s="23" t="n"/>
    </row>
    <row r="22" ht="27" customHeight="1">
      <c r="A22" s="9" t="n"/>
      <c r="B22" s="13" t="n"/>
      <c r="C22" s="9" t="n"/>
      <c r="D22" s="32" t="n"/>
      <c r="E22" s="32" t="n"/>
      <c r="F22" s="32" t="n"/>
      <c r="G22" s="9" t="n"/>
      <c r="H22" s="9" t="n"/>
    </row>
    <row r="23" ht="27" customHeight="1">
      <c r="A23" s="9" t="n"/>
      <c r="B23" s="13" t="inlineStr">
        <is>
          <t>Rechte geulbreedte</t>
        </is>
      </c>
      <c r="C23" s="9" t="inlineStr">
        <is>
          <t>m</t>
        </is>
      </c>
      <c r="D23" s="32">
        <f>Nautiek!D20</f>
        <v/>
      </c>
      <c r="E23" s="32" t="n"/>
      <c r="F23" s="32" t="n"/>
      <c r="G23" s="9" t="n"/>
      <c r="H23" s="9" t="n"/>
    </row>
    <row r="24" ht="27" customHeight="1">
      <c r="A24" s="9" t="n"/>
      <c r="B24" s="13" t="inlineStr">
        <is>
          <t>Bodemdiepte positief</t>
        </is>
      </c>
      <c r="C24" s="9" t="inlineStr">
        <is>
          <t>m MLWS</t>
        </is>
      </c>
      <c r="D24" s="32">
        <f>Nautiek!D25</f>
        <v/>
      </c>
      <c r="E24" s="32" t="n"/>
      <c r="F24" s="32" t="n"/>
      <c r="G24" s="9" t="n"/>
      <c r="H24" s="9" t="n"/>
    </row>
    <row r="25" ht="27" customHeight="1">
      <c r="A25" s="9" t="n"/>
      <c r="B25" s="13" t="inlineStr">
        <is>
          <t>Draaicirkel diameter</t>
        </is>
      </c>
      <c r="C25" s="9" t="inlineStr">
        <is>
          <t>m</t>
        </is>
      </c>
      <c r="D25" s="32">
        <f>Nautiek!D28</f>
        <v/>
      </c>
      <c r="E25" s="32" t="n"/>
      <c r="F25" s="32" t="n"/>
      <c r="G25" s="9" t="n"/>
      <c r="H25" s="9" t="n"/>
    </row>
    <row r="26" ht="27" customHeight="1">
      <c r="A26" s="9" t="n"/>
      <c r="B26" s="13" t="inlineStr">
        <is>
          <t>Havenmond</t>
        </is>
      </c>
      <c r="C26" s="9" t="inlineStr">
        <is>
          <t>m</t>
        </is>
      </c>
      <c r="D26" s="32">
        <f>Nautiek!D29</f>
        <v/>
      </c>
      <c r="E26" s="32" t="n"/>
      <c r="F26" s="32" t="n"/>
      <c r="G26" s="9" t="n"/>
      <c r="H26" s="9" t="n"/>
    </row>
    <row r="27" ht="27" customHeight="1">
      <c r="A27" s="9" t="n"/>
      <c r="B27" s="13" t="n"/>
      <c r="C27" s="9" t="n"/>
      <c r="D27" s="32" t="n"/>
      <c r="E27" s="32" t="n"/>
      <c r="F27" s="32" t="n"/>
      <c r="G27" s="9" t="n"/>
      <c r="H27" s="9" t="n"/>
    </row>
    <row r="28" ht="27" customHeight="1">
      <c r="A28" s="9" t="n"/>
      <c r="B28" s="13" t="n"/>
      <c r="C28" s="9" t="n"/>
      <c r="D28" s="32" t="n"/>
      <c r="E28" s="32" t="n"/>
      <c r="F28" s="32" t="n"/>
      <c r="G28" s="9" t="n"/>
      <c r="H28" s="9" t="n"/>
    </row>
    <row r="29" ht="27" customHeight="1">
      <c r="A29" s="9" t="n"/>
      <c r="B29" s="13" t="inlineStr">
        <is>
          <t>Bagger- en reclamatievolume</t>
        </is>
      </c>
      <c r="C29" s="9" t="n"/>
      <c r="D29" s="32">
        <f>IF(COUNT(Grondwerk!F10,Grondwerk!D25)=2,"SCHATTING BESCHIKBAAR","NOG NIET BEPAALD")</f>
        <v/>
      </c>
      <c r="E29" s="32" t="n"/>
      <c r="F29" s="32" t="n"/>
      <c r="G29" s="9" t="n"/>
      <c r="H29" s="9" t="n"/>
    </row>
    <row r="30" ht="27" customHeight="1">
      <c r="A30" s="9" t="n"/>
      <c r="B30" s="13" t="n"/>
      <c r="C30" s="9" t="n"/>
      <c r="D30" s="32" t="n"/>
      <c r="E30" s="32" t="n"/>
      <c r="F30" s="32" t="n"/>
      <c r="G30" s="9" t="n"/>
      <c r="H30" s="9" t="n"/>
    </row>
    <row r="31" ht="30" customHeight="1">
      <c r="A31" s="9" t="n"/>
      <c r="B31" s="13" t="inlineStr">
        <is>
          <t>Gebruik</t>
        </is>
      </c>
      <c r="C31" s="9" t="n"/>
      <c r="D31" s="32" t="inlineStr">
        <is>
          <t>Gele invoercellen wijzigen; formules rekenen door.</t>
        </is>
      </c>
      <c r="E31" s="32" t="n"/>
      <c r="F31" s="32" t="n"/>
      <c r="G31" s="9" t="n"/>
      <c r="H31" s="9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</row>
  </sheetData>
  <conditionalFormatting sqref="D17:F17">
    <cfRule type="cellIs" priority="1" operator="lessThan" dxfId="0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638AA6"/>
    <outlinePr summaryBelow="1" summaryRight="1"/>
    <pageSetUpPr/>
  </sheetPr>
  <dimension ref="A1:H105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8" customWidth="1" min="1" max="1"/>
    <col width="39" customWidth="1" min="2" max="2"/>
    <col width="18" customWidth="1" min="3" max="3"/>
    <col width="17" customWidth="1" min="4" max="4"/>
    <col width="17" customWidth="1" min="5" max="5"/>
    <col width="17" customWidth="1" min="6" max="6"/>
    <col width="24" customWidth="1" min="7" max="7"/>
    <col width="68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Invoer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27" customHeight="1">
      <c r="A5" s="8" t="inlineStr">
        <is>
          <t>Ref</t>
        </is>
      </c>
      <c r="B5" s="8" t="inlineStr">
        <is>
          <t>Parameter</t>
        </is>
      </c>
      <c r="C5" s="8" t="inlineStr">
        <is>
          <t>Eenheid</t>
        </is>
      </c>
      <c r="D5" s="8" t="inlineStr">
        <is>
          <t>2025</t>
        </is>
      </c>
      <c r="E5" s="8" t="inlineStr">
        <is>
          <t>2035</t>
        </is>
      </c>
      <c r="F5" s="8" t="inlineStr">
        <is>
          <t>2045</t>
        </is>
      </c>
      <c r="G5" s="8" t="inlineStr">
        <is>
          <t>Status</t>
        </is>
      </c>
      <c r="H5" s="8" t="inlineStr">
        <is>
          <t>Bron of motivering</t>
        </is>
      </c>
    </row>
    <row r="6" ht="27" customHeight="1">
      <c r="A6" s="14" t="inlineStr">
        <is>
          <t>ct</t>
        </is>
      </c>
      <c r="B6" s="13" t="inlineStr">
        <is>
          <t>Containeroverslag</t>
        </is>
      </c>
      <c r="C6" s="13" t="inlineStr">
        <is>
          <t>TEU/jaar</t>
        </is>
      </c>
      <c r="D6" s="35" t="n">
        <v>1200000</v>
      </c>
      <c r="E6" s="35" t="n">
        <v>2000000</v>
      </c>
      <c r="F6" s="35" t="n">
        <v>4000000</v>
      </c>
      <c r="G6" s="13" t="inlineStr">
        <is>
          <t>Case</t>
        </is>
      </c>
      <c r="H6" s="13" t="inlineStr">
        <is>
          <t>[1] PPD-A p. 2</t>
        </is>
      </c>
    </row>
    <row r="7" ht="27" customHeight="1">
      <c r="A7" s="14" t="inlineStr">
        <is>
          <t>bulk</t>
        </is>
      </c>
      <c r="B7" s="13" t="inlineStr">
        <is>
          <t>Graanoverslag</t>
        </is>
      </c>
      <c r="C7" s="13" t="inlineStr">
        <is>
          <t>ton/jaar</t>
        </is>
      </c>
      <c r="D7" s="35" t="n">
        <v>500000</v>
      </c>
      <c r="E7" s="35" t="n">
        <v>1000000</v>
      </c>
      <c r="F7" s="35" t="n">
        <v>1500000</v>
      </c>
      <c r="G7" s="13" t="inlineStr">
        <is>
          <t>Case</t>
        </is>
      </c>
      <c r="H7" s="13" t="inlineStr">
        <is>
          <t>[1] PPD-A p. 2</t>
        </is>
      </c>
    </row>
    <row r="8" ht="27" customHeight="1">
      <c r="A8" s="14" t="inlineStr">
        <is>
          <t>roro</t>
        </is>
      </c>
      <c r="B8" s="13" t="inlineStr">
        <is>
          <t>Voertuigen</t>
        </is>
      </c>
      <c r="C8" s="13" t="inlineStr">
        <is>
          <t>auto/jaar</t>
        </is>
      </c>
      <c r="D8" s="35" t="n">
        <v>45000</v>
      </c>
      <c r="E8" s="35" t="n">
        <v>130000</v>
      </c>
      <c r="F8" s="35" t="n">
        <v>210000</v>
      </c>
      <c r="G8" s="13" t="inlineStr">
        <is>
          <t>Case</t>
        </is>
      </c>
      <c r="H8" s="13" t="inlineStr">
        <is>
          <t>[1] PPD-A p. 2</t>
        </is>
      </c>
    </row>
    <row r="9" ht="27" customHeight="1">
      <c r="A9" s="14" t="inlineStr">
        <is>
          <t>lng</t>
        </is>
      </c>
      <c r="B9" s="13" t="inlineStr">
        <is>
          <t>LNG-overslag</t>
        </is>
      </c>
      <c r="C9" s="13" t="inlineStr">
        <is>
          <t>m3 LNG/jaar</t>
        </is>
      </c>
      <c r="D9" s="35" t="n">
        <v>4000000</v>
      </c>
      <c r="E9" s="35" t="n">
        <v>6000000</v>
      </c>
      <c r="F9" s="35" t="n">
        <v>8000000</v>
      </c>
      <c r="G9" s="13" t="inlineStr">
        <is>
          <t>Case</t>
        </is>
      </c>
      <c r="H9" s="13" t="inlineStr">
        <is>
          <t>[1] PPD-A p. 2</t>
        </is>
      </c>
    </row>
    <row r="10" ht="27" customHeight="1">
      <c r="A10" s="14" t="inlineStr">
        <is>
          <t>days</t>
        </is>
      </c>
      <c r="B10" s="13" t="inlineStr">
        <is>
          <t>Kalenderdagen</t>
        </is>
      </c>
      <c r="C10" s="13" t="inlineStr">
        <is>
          <t>dagen/jaar</t>
        </is>
      </c>
      <c r="D10" s="35" t="n">
        <v>365</v>
      </c>
      <c r="E10" s="32">
        <f>$D10</f>
        <v/>
      </c>
      <c r="F10" s="32">
        <f>$D10</f>
        <v/>
      </c>
      <c r="G10" s="13" t="inlineStr">
        <is>
          <t>Definitie</t>
        </is>
      </c>
      <c r="H10" s="13" t="inlineStr">
        <is>
          <t>Geen schrikkeljaarcorrectie op conceptniveau</t>
        </is>
      </c>
    </row>
    <row r="11" ht="27" customHeight="1">
      <c r="A11" s="14" t="inlineStr">
        <is>
          <t>avail</t>
        </is>
      </c>
      <c r="B11" s="13" t="inlineStr">
        <is>
          <t>Beschikbare ligplaatstijd</t>
        </is>
      </c>
      <c r="C11" s="13" t="inlineStr">
        <is>
          <t>deel</t>
        </is>
      </c>
      <c r="D11" s="36" t="n">
        <v>0.95</v>
      </c>
      <c r="E11" s="33">
        <f>$D11</f>
        <v/>
      </c>
      <c r="F11" s="33">
        <f>$D11</f>
        <v/>
      </c>
      <c r="G11" s="13" t="inlineStr">
        <is>
          <t>Rekenaanname</t>
        </is>
      </c>
      <c r="H11" s="13" t="inlineStr">
        <is>
          <t>5% uitval door weer en onderhoud; gevoeligheid toetsen</t>
        </is>
      </c>
    </row>
    <row r="12" ht="27" customHeight="1">
      <c r="A12" s="14" t="inlineStr">
        <is>
          <t>target</t>
        </is>
      </c>
      <c r="B12" s="13" t="inlineStr">
        <is>
          <t>Doelbezetting containerkade</t>
        </is>
      </c>
      <c r="C12" s="13" t="inlineStr">
        <is>
          <t>deel</t>
        </is>
      </c>
      <c r="D12" s="36" t="n">
        <v>0.65</v>
      </c>
      <c r="E12" s="33">
        <f>$D12</f>
        <v/>
      </c>
      <c r="F12" s="33">
        <f>$D12</f>
        <v/>
      </c>
      <c r="G12" s="13" t="inlineStr">
        <is>
          <t>Projectcriterium</t>
        </is>
      </c>
      <c r="H12" s="13" t="inlineStr">
        <is>
          <t>Planningsgrens; wachttijdmodel nog nodig</t>
        </is>
      </c>
    </row>
    <row r="13" ht="27" customHeight="1">
      <c r="A13" s="14" t="inlineStr">
        <is>
          <t>ratio</t>
        </is>
      </c>
      <c r="B13" s="13" t="inlineStr">
        <is>
          <t>Aantal 20ft / aantal 40ft</t>
        </is>
      </c>
      <c r="C13" s="13" t="inlineStr">
        <is>
          <t>-</t>
        </is>
      </c>
      <c r="D13" s="35" t="n">
        <v>1.2</v>
      </c>
      <c r="E13" s="32">
        <f>$D13</f>
        <v/>
      </c>
      <c r="F13" s="32">
        <f>$D13</f>
        <v/>
      </c>
      <c r="G13" s="13" t="inlineStr">
        <is>
          <t>Case</t>
        </is>
      </c>
      <c r="H13" s="13" t="inlineStr">
        <is>
          <t>[1] Verhouding aantallen, niet verhouding TEU</t>
        </is>
      </c>
    </row>
    <row r="14" ht="27" customHeight="1">
      <c r="A14" s="14" t="inlineStr">
        <is>
          <t>callC</t>
        </is>
      </c>
      <c r="B14" s="13" t="inlineStr">
        <is>
          <t>Overslag per containercall</t>
        </is>
      </c>
      <c r="C14" s="13" t="inlineStr">
        <is>
          <t>TEU/call</t>
        </is>
      </c>
      <c r="D14" s="35" t="n">
        <v>4500</v>
      </c>
      <c r="E14" s="32">
        <f>$D14</f>
        <v/>
      </c>
      <c r="F14" s="32">
        <f>$D14</f>
        <v/>
      </c>
      <c r="G14" s="13" t="inlineStr">
        <is>
          <t>Rekenaanname</t>
        </is>
      </c>
      <c r="H14" s="13" t="inlineStr">
        <is>
          <t>Zelfde callgrootte alle fasen; geen groei in scheepsafmetingen</t>
        </is>
      </c>
    </row>
    <row r="15" ht="27" customHeight="1">
      <c r="A15" s="14" t="inlineStr">
        <is>
          <t>cranes</t>
        </is>
      </c>
      <c r="B15" s="13" t="inlineStr">
        <is>
          <t>Gelijktijdige STS-kranen per schip</t>
        </is>
      </c>
      <c r="C15" s="13" t="inlineStr">
        <is>
          <t>aantal</t>
        </is>
      </c>
      <c r="D15" s="35" t="n">
        <v>3</v>
      </c>
      <c r="E15" s="35" t="n">
        <v>4</v>
      </c>
      <c r="F15" s="35" t="n">
        <v>5</v>
      </c>
      <c r="G15" s="13" t="inlineStr">
        <is>
          <t>Ontwerpvoorstel</t>
        </is>
      </c>
      <c r="H15" s="13" t="inlineStr">
        <is>
          <t>Productiviteit is netto, incl. kleine stops</t>
        </is>
      </c>
    </row>
    <row r="16" ht="27" customHeight="1">
      <c r="A16" s="14" t="inlineStr">
        <is>
          <t>qcrane</t>
        </is>
      </c>
      <c r="B16" s="13" t="inlineStr">
        <is>
          <t>Netto STS-productiviteit</t>
        </is>
      </c>
      <c r="C16" s="13" t="inlineStr">
        <is>
          <t>box/uur/kraan</t>
        </is>
      </c>
      <c r="D16" s="35" t="n">
        <v>30</v>
      </c>
      <c r="E16" s="32">
        <f>$D16</f>
        <v/>
      </c>
      <c r="F16" s="32">
        <f>$D16</f>
        <v/>
      </c>
      <c r="G16" s="13" t="inlineStr">
        <is>
          <t>Rekenaanname</t>
        </is>
      </c>
      <c r="H16" s="13" t="inlineStr">
        <is>
          <t>Te toetsen met operator; 20 geeft meer benodigde ligplaatsen</t>
        </is>
      </c>
    </row>
    <row r="17" ht="27" customHeight="1">
      <c r="A17" s="14" t="inlineStr">
        <is>
          <t>moorC</t>
        </is>
      </c>
      <c r="B17" s="13" t="inlineStr">
        <is>
          <t>Tijd buiten containeroverslag</t>
        </is>
      </c>
      <c r="C17" s="13" t="inlineStr">
        <is>
          <t>uur/call</t>
        </is>
      </c>
      <c r="D17" s="35" t="n">
        <v>3</v>
      </c>
      <c r="E17" s="32">
        <f>$D17</f>
        <v/>
      </c>
      <c r="F17" s="32">
        <f>$D17</f>
        <v/>
      </c>
      <c r="G17" s="13" t="inlineStr">
        <is>
          <t>Rekenaanname</t>
        </is>
      </c>
      <c r="H17" s="13" t="inlineStr">
        <is>
          <t>Aan- en afmeren, checks en wisselen samen</t>
        </is>
      </c>
    </row>
    <row r="18" ht="27" customHeight="1">
      <c r="A18" s="14" t="inlineStr">
        <is>
          <t>berths</t>
        </is>
      </c>
      <c r="B18" s="13" t="inlineStr">
        <is>
          <t>Geplande containerligplaatsen</t>
        </is>
      </c>
      <c r="C18" s="13" t="inlineStr">
        <is>
          <t>aantal</t>
        </is>
      </c>
      <c r="D18" s="35" t="n">
        <v>2</v>
      </c>
      <c r="E18" s="35" t="n">
        <v>3</v>
      </c>
      <c r="F18" s="35" t="n">
        <v>4</v>
      </c>
      <c r="G18" s="13" t="inlineStr">
        <is>
          <t>Ontwerpvoorstel</t>
        </is>
      </c>
      <c r="H18" s="13" t="inlineStr">
        <is>
          <t>Afhankelijk van afhandeling en wachttijdtoets</t>
        </is>
      </c>
    </row>
    <row r="19" ht="27" customHeight="1">
      <c r="A19" s="14" t="inlineStr">
        <is>
          <t>module</t>
        </is>
      </c>
      <c r="B19" s="13" t="inlineStr">
        <is>
          <t>Containerkade per ligplaats</t>
        </is>
      </c>
      <c r="C19" s="13" t="inlineStr">
        <is>
          <t>m</t>
        </is>
      </c>
      <c r="D19" s="35" t="n">
        <v>400</v>
      </c>
      <c r="E19" s="32">
        <f>$D19</f>
        <v/>
      </c>
      <c r="F19" s="32">
        <f>$D19</f>
        <v/>
      </c>
      <c r="G19" s="13" t="inlineStr">
        <is>
          <t>Ontwerpvoorstel</t>
        </is>
      </c>
      <c r="H19" s="13" t="inlineStr">
        <is>
          <t>334 m LOA + 2 x 30 m eindmarge = 394 m</t>
        </is>
      </c>
    </row>
    <row r="20" ht="27" customHeight="1">
      <c r="A20" s="14" t="inlineStr">
        <is>
          <t>yard</t>
        </is>
      </c>
      <c r="B20" s="13" t="inlineStr">
        <is>
          <t>Te reserveren containerterrein</t>
        </is>
      </c>
      <c r="C20" s="13" t="inlineStr">
        <is>
          <t>ha</t>
        </is>
      </c>
      <c r="D20" s="35" t="n">
        <v>72</v>
      </c>
      <c r="E20" s="35" t="n">
        <v>108</v>
      </c>
      <c r="F20" s="35" t="n">
        <v>144</v>
      </c>
      <c r="G20" s="13" t="inlineStr">
        <is>
          <t>Ontwerpvoorstel</t>
        </is>
      </c>
      <c r="H20" s="13" t="inlineStr">
        <is>
          <t>DO-tekening: 72,0 / 108,0 / 144,0 ha gesloten polygonen (Maatstaat); gelijk aan reservering</t>
        </is>
      </c>
    </row>
    <row r="21" ht="27" customHeight="1">
      <c r="A21" s="14" t="inlineStr">
        <is>
          <t>imp</t>
        </is>
      </c>
      <c r="B21" s="13" t="inlineStr">
        <is>
          <t>Aandeel import</t>
        </is>
      </c>
      <c r="C21" s="13" t="inlineStr">
        <is>
          <t>deel</t>
        </is>
      </c>
      <c r="D21" s="36" t="n">
        <v>0.5</v>
      </c>
      <c r="E21" s="33">
        <f>$D21</f>
        <v/>
      </c>
      <c r="F21" s="33">
        <f>$D21</f>
        <v/>
      </c>
      <c r="G21" s="13" t="inlineStr">
        <is>
          <t>Case</t>
        </is>
      </c>
      <c r="H21" s="13" t="inlineStr">
        <is>
          <t>[1] PPD-A p. 2</t>
        </is>
      </c>
    </row>
    <row r="22" ht="27" customHeight="1">
      <c r="A22" s="14" t="inlineStr">
        <is>
          <t>exp</t>
        </is>
      </c>
      <c r="B22" s="13" t="inlineStr">
        <is>
          <t>Aandeel volle export</t>
        </is>
      </c>
      <c r="C22" s="13" t="inlineStr">
        <is>
          <t>deel</t>
        </is>
      </c>
      <c r="D22" s="36" t="n">
        <v>0.3</v>
      </c>
      <c r="E22" s="33">
        <f>$D22</f>
        <v/>
      </c>
      <c r="F22" s="33">
        <f>$D22</f>
        <v/>
      </c>
      <c r="G22" s="13" t="inlineStr">
        <is>
          <t>Case</t>
        </is>
      </c>
      <c r="H22" s="13" t="inlineStr">
        <is>
          <t>[1] PPD-A p. 2</t>
        </is>
      </c>
    </row>
    <row r="23" ht="27" customHeight="1">
      <c r="A23" s="14" t="inlineStr">
        <is>
          <t>empty</t>
        </is>
      </c>
      <c r="B23" s="13" t="inlineStr">
        <is>
          <t>Aandeel lege export</t>
        </is>
      </c>
      <c r="C23" s="13" t="inlineStr">
        <is>
          <t>deel</t>
        </is>
      </c>
      <c r="D23" s="36" t="n">
        <v>0.2</v>
      </c>
      <c r="E23" s="33">
        <f>$D23</f>
        <v/>
      </c>
      <c r="F23" s="33">
        <f>$D23</f>
        <v/>
      </c>
      <c r="G23" s="13" t="inlineStr">
        <is>
          <t>Case</t>
        </is>
      </c>
      <c r="H23" s="13" t="inlineStr">
        <is>
          <t>[1] PPD-A p. 2</t>
        </is>
      </c>
    </row>
    <row r="24" ht="27" customHeight="1">
      <c r="A24" s="14" t="inlineStr">
        <is>
          <t>dImp</t>
        </is>
      </c>
      <c r="B24" s="13" t="inlineStr">
        <is>
          <t>Verblijftijd import</t>
        </is>
      </c>
      <c r="C24" s="13" t="inlineStr">
        <is>
          <t>dagen</t>
        </is>
      </c>
      <c r="D24" s="35" t="n">
        <v>6</v>
      </c>
      <c r="E24" s="32">
        <f>$D24</f>
        <v/>
      </c>
      <c r="F24" s="32">
        <f>$D24</f>
        <v/>
      </c>
      <c r="G24" s="13" t="inlineStr">
        <is>
          <t>Case</t>
        </is>
      </c>
      <c r="H24" s="13" t="inlineStr">
        <is>
          <t>[1] PPD-A p. 2</t>
        </is>
      </c>
    </row>
    <row r="25" ht="27" customHeight="1">
      <c r="A25" s="14" t="inlineStr">
        <is>
          <t>dExp</t>
        </is>
      </c>
      <c r="B25" s="13" t="inlineStr">
        <is>
          <t>Verblijftijd export</t>
        </is>
      </c>
      <c r="C25" s="13" t="inlineStr">
        <is>
          <t>dagen</t>
        </is>
      </c>
      <c r="D25" s="35" t="n">
        <v>4</v>
      </c>
      <c r="E25" s="32">
        <f>$D25</f>
        <v/>
      </c>
      <c r="F25" s="32">
        <f>$D25</f>
        <v/>
      </c>
      <c r="G25" s="13" t="inlineStr">
        <is>
          <t>Case</t>
        </is>
      </c>
      <c r="H25" s="13" t="inlineStr">
        <is>
          <t>[1] PPD-A p. 2</t>
        </is>
      </c>
    </row>
    <row r="26" ht="27" customHeight="1">
      <c r="A26" s="14" t="inlineStr">
        <is>
          <t>dEmpty</t>
        </is>
      </c>
      <c r="B26" s="13" t="inlineStr">
        <is>
          <t>Verblijftijd leeg</t>
        </is>
      </c>
      <c r="C26" s="13" t="inlineStr">
        <is>
          <t>dagen</t>
        </is>
      </c>
      <c r="D26" s="35" t="n">
        <v>10</v>
      </c>
      <c r="E26" s="32">
        <f>$D26</f>
        <v/>
      </c>
      <c r="F26" s="32">
        <f>$D26</f>
        <v/>
      </c>
      <c r="G26" s="13" t="inlineStr">
        <is>
          <t>Case</t>
        </is>
      </c>
      <c r="H26" s="13" t="inlineStr">
        <is>
          <t>[1] PPD-A p. 2</t>
        </is>
      </c>
    </row>
    <row r="27" ht="27" customHeight="1">
      <c r="A27" s="14" t="inlineStr">
        <is>
          <t>peak</t>
        </is>
      </c>
      <c r="B27" s="13" t="inlineStr">
        <is>
          <t>Piekfactor voorraad</t>
        </is>
      </c>
      <c r="C27" s="13" t="inlineStr">
        <is>
          <t>-</t>
        </is>
      </c>
      <c r="D27" s="35" t="n">
        <v>1.25</v>
      </c>
      <c r="E27" s="32">
        <f>$D27</f>
        <v/>
      </c>
      <c r="F27" s="32">
        <f>$D27</f>
        <v/>
      </c>
      <c r="G27" s="13" t="inlineStr">
        <is>
          <t>Rekenaanname</t>
        </is>
      </c>
      <c r="H27" s="13" t="inlineStr">
        <is>
          <t>Voor seizoens- en aankomstvariatie</t>
        </is>
      </c>
    </row>
    <row r="28" ht="27" customHeight="1">
      <c r="A28" s="14" t="inlineStr">
        <is>
          <t>stack</t>
        </is>
      </c>
      <c r="B28" s="13" t="inlineStr">
        <is>
          <t>Effectieve gemiddelde stapeling</t>
        </is>
      </c>
      <c r="C28" s="13" t="inlineStr">
        <is>
          <t>TEU/slot</t>
        </is>
      </c>
      <c r="D28" s="35" t="n">
        <v>3</v>
      </c>
      <c r="E28" s="32">
        <f>$D28</f>
        <v/>
      </c>
      <c r="F28" s="32">
        <f>$D28</f>
        <v/>
      </c>
      <c r="G28" s="13" t="inlineStr">
        <is>
          <t>Rekenaanname</t>
        </is>
      </c>
      <c r="H28" s="13" t="inlineStr">
        <is>
          <t>Inclusief lagere stapeling voor bereikbaarheid</t>
        </is>
      </c>
    </row>
    <row r="29" ht="27" customHeight="1">
      <c r="A29" s="14" t="inlineStr">
        <is>
          <t>util</t>
        </is>
      </c>
      <c r="B29" s="13" t="inlineStr">
        <is>
          <t>Benutting grondslots</t>
        </is>
      </c>
      <c r="C29" s="13" t="inlineStr">
        <is>
          <t>deel</t>
        </is>
      </c>
      <c r="D29" s="36" t="n">
        <v>0.7</v>
      </c>
      <c r="E29" s="33">
        <f>$D29</f>
        <v/>
      </c>
      <c r="F29" s="33">
        <f>$D29</f>
        <v/>
      </c>
      <c r="G29" s="13" t="inlineStr">
        <is>
          <t>Rekenaanname</t>
        </is>
      </c>
      <c r="H29" s="13" t="inlineStr">
        <is>
          <t>Operationele reserve</t>
        </is>
      </c>
    </row>
    <row r="30" ht="27" customHeight="1">
      <c r="A30" s="14" t="inlineStr">
        <is>
          <t>slot</t>
        </is>
      </c>
      <c r="B30" s="13" t="inlineStr">
        <is>
          <t>Netto oppervlakte per TEU-slot</t>
        </is>
      </c>
      <c r="C30" s="13" t="inlineStr">
        <is>
          <t>m2</t>
        </is>
      </c>
      <c r="D30" s="35" t="n">
        <v>28</v>
      </c>
      <c r="E30" s="32">
        <f>$D30</f>
        <v/>
      </c>
      <c r="F30" s="32">
        <f>$D30</f>
        <v/>
      </c>
      <c r="G30" s="13" t="inlineStr">
        <is>
          <t>Rekenaanname</t>
        </is>
      </c>
      <c r="H30" s="13" t="inlineStr">
        <is>
          <t>TEU-equivalent grondslot; niet box-slot</t>
        </is>
      </c>
    </row>
    <row r="31" ht="27" customHeight="1">
      <c r="A31" s="14" t="inlineStr">
        <is>
          <t>support</t>
        </is>
      </c>
      <c r="B31" s="13" t="inlineStr">
        <is>
          <t>Terreinfactor containers / RoRo</t>
        </is>
      </c>
      <c r="C31" s="13" t="inlineStr">
        <is>
          <t>-</t>
        </is>
      </c>
      <c r="D31" s="35" t="n">
        <v>1.2</v>
      </c>
      <c r="E31" s="32">
        <f>$D31</f>
        <v/>
      </c>
      <c r="F31" s="32">
        <f>$D31</f>
        <v/>
      </c>
      <c r="G31" s="13" t="inlineStr">
        <is>
          <t>Rekenaanname</t>
        </is>
      </c>
      <c r="H31" s="13" t="inlineStr">
        <is>
          <t>Aanvulling voor apron, wegen en gebouwen</t>
        </is>
      </c>
    </row>
    <row r="32" ht="27" customHeight="1">
      <c r="A32" s="14" t="inlineStr">
        <is>
          <t>callB</t>
        </is>
      </c>
      <c r="B32" s="13" t="inlineStr">
        <is>
          <t>Graan per scheepscall</t>
        </is>
      </c>
      <c r="C32" s="13" t="inlineStr">
        <is>
          <t>ton/call</t>
        </is>
      </c>
      <c r="D32" s="35" t="n">
        <v>65000</v>
      </c>
      <c r="E32" s="32">
        <f>$D32</f>
        <v/>
      </c>
      <c r="F32" s="32">
        <f>$D32</f>
        <v/>
      </c>
      <c r="G32" s="13" t="inlineStr">
        <is>
          <t>Rekenaanname</t>
        </is>
      </c>
      <c r="H32" s="13" t="inlineStr">
        <is>
          <t>Binnen 81.290 DWT; DWT is niet volledig laadvermogen</t>
        </is>
      </c>
    </row>
    <row r="33" ht="27" customHeight="1">
      <c r="A33" s="14" t="inlineStr">
        <is>
          <t>qB</t>
        </is>
      </c>
      <c r="B33" s="13" t="inlineStr">
        <is>
          <t>Netto graanproductiviteit</t>
        </is>
      </c>
      <c r="C33" s="13" t="inlineStr">
        <is>
          <t>ton/uur</t>
        </is>
      </c>
      <c r="D33" s="35" t="n">
        <v>1000</v>
      </c>
      <c r="E33" s="32">
        <f>$D33</f>
        <v/>
      </c>
      <c r="F33" s="32">
        <f>$D33</f>
        <v/>
      </c>
      <c r="G33" s="13" t="inlineStr">
        <is>
          <t>Rekenaanname</t>
        </is>
      </c>
      <c r="H33" s="13" t="inlineStr">
        <is>
          <t>Scheepsbelader incl. operationele stops</t>
        </is>
      </c>
    </row>
    <row r="34" ht="27" customHeight="1">
      <c r="A34" s="14" t="inlineStr">
        <is>
          <t>moorB</t>
        </is>
      </c>
      <c r="B34" s="13" t="inlineStr">
        <is>
          <t>Overige tijd graanschip</t>
        </is>
      </c>
      <c r="C34" s="13" t="inlineStr">
        <is>
          <t>uur/call</t>
        </is>
      </c>
      <c r="D34" s="35" t="n">
        <v>6</v>
      </c>
      <c r="E34" s="32">
        <f>$D34</f>
        <v/>
      </c>
      <c r="F34" s="32">
        <f>$D34</f>
        <v/>
      </c>
      <c r="G34" s="13" t="inlineStr">
        <is>
          <t>Rekenaanname</t>
        </is>
      </c>
      <c r="H34" s="13" t="inlineStr">
        <is>
          <t>Aan/afmeren, controles en wissel</t>
        </is>
      </c>
    </row>
    <row r="35" ht="27" customHeight="1">
      <c r="A35" s="14" t="inlineStr">
        <is>
          <t>dB</t>
        </is>
      </c>
      <c r="B35" s="13" t="inlineStr">
        <is>
          <t>Graanvoorraad</t>
        </is>
      </c>
      <c r="C35" s="13" t="inlineStr">
        <is>
          <t>dagen</t>
        </is>
      </c>
      <c r="D35" s="35" t="n">
        <v>30</v>
      </c>
      <c r="E35" s="32">
        <f>$D35</f>
        <v/>
      </c>
      <c r="F35" s="32">
        <f>$D35</f>
        <v/>
      </c>
      <c r="G35" s="13" t="inlineStr">
        <is>
          <t>Rekenaanname</t>
        </is>
      </c>
      <c r="H35" s="13" t="inlineStr">
        <is>
          <t>Op basis van kalenderdoorzet</t>
        </is>
      </c>
    </row>
    <row r="36" ht="27" customHeight="1">
      <c r="A36" s="14" t="inlineStr">
        <is>
          <t>rhoB</t>
        </is>
      </c>
      <c r="B36" s="13" t="inlineStr">
        <is>
          <t>Graandichtheid</t>
        </is>
      </c>
      <c r="C36" s="13" t="inlineStr">
        <is>
          <t>ton/m3</t>
        </is>
      </c>
      <c r="D36" s="35" t="n">
        <v>0.75</v>
      </c>
      <c r="E36" s="32">
        <f>$D36</f>
        <v/>
      </c>
      <c r="F36" s="32">
        <f>$D36</f>
        <v/>
      </c>
      <c r="G36" s="13" t="inlineStr">
        <is>
          <t>Rekenaanname</t>
        </is>
      </c>
      <c r="H36" s="13" t="inlineStr">
        <is>
          <t>Productspecificatie nog bevestigen</t>
        </is>
      </c>
    </row>
    <row r="37" ht="27" customHeight="1">
      <c r="A37" s="14" t="inlineStr">
        <is>
          <t>hB</t>
        </is>
      </c>
      <c r="B37" s="13" t="inlineStr">
        <is>
          <t>Effectieve opslaghoogte graan</t>
        </is>
      </c>
      <c r="C37" s="13" t="inlineStr">
        <is>
          <t>m</t>
        </is>
      </c>
      <c r="D37" s="35" t="n">
        <v>8</v>
      </c>
      <c r="E37" s="32">
        <f>$D37</f>
        <v/>
      </c>
      <c r="F37" s="32">
        <f>$D37</f>
        <v/>
      </c>
      <c r="G37" s="13" t="inlineStr">
        <is>
          <t>Rekenaanname</t>
        </is>
      </c>
      <c r="H37" s="13" t="inlineStr">
        <is>
          <t>Concept opslaggebouw of silo-equivalent</t>
        </is>
      </c>
    </row>
    <row r="38" ht="27" customHeight="1">
      <c r="A38" s="14" t="inlineStr">
        <is>
          <t>facB</t>
        </is>
      </c>
      <c r="B38" s="13" t="inlineStr">
        <is>
          <t>Factor graanopslagterrein</t>
        </is>
      </c>
      <c r="C38" s="13" t="inlineStr">
        <is>
          <t>-</t>
        </is>
      </c>
      <c r="D38" s="35" t="n">
        <v>2</v>
      </c>
      <c r="E38" s="32">
        <f>$D38</f>
        <v/>
      </c>
      <c r="F38" s="32">
        <f>$D38</f>
        <v/>
      </c>
      <c r="G38" s="13" t="inlineStr">
        <is>
          <t>Rekenaanname</t>
        </is>
      </c>
      <c r="H38" s="13" t="inlineStr">
        <is>
          <t>Opslag plus interne bediening, exclusief grote reserves</t>
        </is>
      </c>
    </row>
    <row r="39" ht="27" customHeight="1">
      <c r="A39" s="14" t="inlineStr">
        <is>
          <t>areaB</t>
        </is>
      </c>
      <c r="B39" s="13" t="inlineStr">
        <is>
          <t>Graanterrein reservering</t>
        </is>
      </c>
      <c r="C39" s="13" t="inlineStr">
        <is>
          <t>ha</t>
        </is>
      </c>
      <c r="D39" s="35" t="n">
        <v>30</v>
      </c>
      <c r="E39" s="32">
        <f>$D39</f>
        <v/>
      </c>
      <c r="F39" s="32">
        <f>$D39</f>
        <v/>
      </c>
      <c r="G39" s="13" t="inlineStr">
        <is>
          <t>Ontwerpvoorstel</t>
        </is>
      </c>
      <c r="H39" s="13" t="inlineStr">
        <is>
          <t>DO-tekening: 30,0 ha (500 x 600 m), kade 300 m</t>
        </is>
      </c>
    </row>
    <row r="40" ht="27" customHeight="1">
      <c r="A40" s="14" t="inlineStr">
        <is>
          <t>callR</t>
        </is>
      </c>
      <c r="B40" s="13" t="inlineStr">
        <is>
          <t>Voertuigen per scheepscall</t>
        </is>
      </c>
      <c r="C40" s="13" t="inlineStr">
        <is>
          <t>auto/call</t>
        </is>
      </c>
      <c r="D40" s="35" t="n">
        <v>6500</v>
      </c>
      <c r="E40" s="32">
        <f>$D40</f>
        <v/>
      </c>
      <c r="F40" s="32">
        <f>$D40</f>
        <v/>
      </c>
      <c r="G40" s="13" t="inlineStr">
        <is>
          <t>Rekenaanname</t>
        </is>
      </c>
      <c r="H40" s="13" t="inlineStr">
        <is>
          <t>Bovengrens gemiddelde referentie; gevoelig voor part-calls</t>
        </is>
      </c>
    </row>
    <row r="41" ht="27" customHeight="1">
      <c r="A41" s="14" t="inlineStr">
        <is>
          <t>qR</t>
        </is>
      </c>
      <c r="B41" s="13" t="inlineStr">
        <is>
          <t>Netto RoRo-productiviteit</t>
        </is>
      </c>
      <c r="C41" s="13" t="inlineStr">
        <is>
          <t>auto/uur</t>
        </is>
      </c>
      <c r="D41" s="35" t="n">
        <v>150</v>
      </c>
      <c r="E41" s="32">
        <f>$D41</f>
        <v/>
      </c>
      <c r="F41" s="32">
        <f>$D41</f>
        <v/>
      </c>
      <c r="G41" s="13" t="inlineStr">
        <is>
          <t>Rekenaanname</t>
        </is>
      </c>
      <c r="H41" s="13" t="inlineStr">
        <is>
          <t>Te toetsen op rijploegen en rampconfiguratie</t>
        </is>
      </c>
    </row>
    <row r="42" ht="27" customHeight="1">
      <c r="A42" s="14" t="inlineStr">
        <is>
          <t>moorR</t>
        </is>
      </c>
      <c r="B42" s="13" t="inlineStr">
        <is>
          <t>Overige tijd RoRo</t>
        </is>
      </c>
      <c r="C42" s="13" t="inlineStr">
        <is>
          <t>uur/call</t>
        </is>
      </c>
      <c r="D42" s="35" t="n">
        <v>4</v>
      </c>
      <c r="E42" s="32">
        <f>$D42</f>
        <v/>
      </c>
      <c r="F42" s="32">
        <f>$D42</f>
        <v/>
      </c>
      <c r="G42" s="13" t="inlineStr">
        <is>
          <t>Rekenaanname</t>
        </is>
      </c>
      <c r="H42" s="13" t="inlineStr">
        <is>
          <t>Aan/afmeren en controles</t>
        </is>
      </c>
    </row>
    <row r="43" ht="27" customHeight="1">
      <c r="A43" s="14" t="inlineStr">
        <is>
          <t>dR</t>
        </is>
      </c>
      <c r="B43" s="13" t="inlineStr">
        <is>
          <t>Verblijftijd voertuigen</t>
        </is>
      </c>
      <c r="C43" s="13" t="inlineStr">
        <is>
          <t>dagen</t>
        </is>
      </c>
      <c r="D43" s="35" t="n">
        <v>10</v>
      </c>
      <c r="E43" s="32">
        <f>$D43</f>
        <v/>
      </c>
      <c r="F43" s="32">
        <f>$D43</f>
        <v/>
      </c>
      <c r="G43" s="13" t="inlineStr">
        <is>
          <t>Rekenaanname</t>
        </is>
      </c>
      <c r="H43" s="13" t="inlineStr">
        <is>
          <t>Open terrein</t>
        </is>
      </c>
    </row>
    <row r="44" ht="27" customHeight="1">
      <c r="A44" s="14" t="inlineStr">
        <is>
          <t>peakR</t>
        </is>
      </c>
      <c r="B44" s="13" t="inlineStr">
        <is>
          <t>Piekfactor voertuigen</t>
        </is>
      </c>
      <c r="C44" s="13" t="inlineStr">
        <is>
          <t>-</t>
        </is>
      </c>
      <c r="D44" s="35" t="n">
        <v>1.3</v>
      </c>
      <c r="E44" s="32">
        <f>$D44</f>
        <v/>
      </c>
      <c r="F44" s="32">
        <f>$D44</f>
        <v/>
      </c>
      <c r="G44" s="13" t="inlineStr">
        <is>
          <t>Rekenaanname</t>
        </is>
      </c>
      <c r="H44" s="13" t="inlineStr">
        <is>
          <t>Voorraadvorming</t>
        </is>
      </c>
    </row>
    <row r="45" ht="27" customHeight="1">
      <c r="A45" s="14" t="inlineStr">
        <is>
          <t>spaceR</t>
        </is>
      </c>
      <c r="B45" s="13" t="inlineStr">
        <is>
          <t>Parkeren en rijruimte per auto</t>
        </is>
      </c>
      <c r="C45" s="13" t="inlineStr">
        <is>
          <t>m2/auto</t>
        </is>
      </c>
      <c r="D45" s="35" t="n">
        <v>30</v>
      </c>
      <c r="E45" s="32">
        <f>$D45</f>
        <v/>
      </c>
      <c r="F45" s="32">
        <f>$D45</f>
        <v/>
      </c>
      <c r="G45" s="13" t="inlineStr">
        <is>
          <t>Rekenaanname</t>
        </is>
      </c>
      <c r="H45" s="13" t="inlineStr">
        <is>
          <t>Interne rijruimte inbegrepen</t>
        </is>
      </c>
    </row>
    <row r="46" ht="27" customHeight="1">
      <c r="A46" s="14" t="inlineStr">
        <is>
          <t>areaR</t>
        </is>
      </c>
      <c r="B46" s="13" t="inlineStr">
        <is>
          <t>RoRo-terrein reservering</t>
        </is>
      </c>
      <c r="C46" s="13" t="inlineStr">
        <is>
          <t>ha</t>
        </is>
      </c>
      <c r="D46" s="35" t="n">
        <v>30</v>
      </c>
      <c r="E46" s="32">
        <f>$D46</f>
        <v/>
      </c>
      <c r="F46" s="32">
        <f>$D46</f>
        <v/>
      </c>
      <c r="G46" s="13" t="inlineStr">
        <is>
          <t>Ontwerpvoorstel</t>
        </is>
      </c>
      <c r="H46" s="13" t="inlineStr">
        <is>
          <t>26,93 ha berekend; DO-tekening 30,0 ha (500 x 600 m), kade 300 m</t>
        </is>
      </c>
    </row>
    <row r="47" ht="27" customHeight="1">
      <c r="A47" s="14" t="inlineStr">
        <is>
          <t>shipL</t>
        </is>
      </c>
      <c r="B47" s="13" t="inlineStr">
        <is>
          <t>Capaciteit LNG-referentie</t>
        </is>
      </c>
      <c r="C47" s="13" t="inlineStr">
        <is>
          <t>m3</t>
        </is>
      </c>
      <c r="D47" s="35" t="n">
        <v>174000</v>
      </c>
      <c r="E47" s="32">
        <f>$D47</f>
        <v/>
      </c>
      <c r="F47" s="32">
        <f>$D47</f>
        <v/>
      </c>
      <c r="G47" s="13" t="inlineStr">
        <is>
          <t>Deel 1</t>
        </is>
      </c>
      <c r="H47" s="13" t="inlineStr">
        <is>
          <t>[2] GASLOG GREECE; gegevens uit scheepsonderzoek</t>
        </is>
      </c>
    </row>
    <row r="48" ht="27" customHeight="1">
      <c r="A48" s="14" t="inlineStr">
        <is>
          <t>parcelL</t>
        </is>
      </c>
      <c r="B48" s="13" t="inlineStr">
        <is>
          <t>Effectieve LNG-lading</t>
        </is>
      </c>
      <c r="C48" s="13" t="inlineStr">
        <is>
          <t>deel</t>
        </is>
      </c>
      <c r="D48" s="36" t="n">
        <v>0.9</v>
      </c>
      <c r="E48" s="33">
        <f>$D48</f>
        <v/>
      </c>
      <c r="F48" s="33">
        <f>$D48</f>
        <v/>
      </c>
      <c r="G48" s="13" t="inlineStr">
        <is>
          <t>Rekenaanname</t>
        </is>
      </c>
      <c r="H48" s="13" t="inlineStr">
        <is>
          <t>Bij volledige ontvangst; calls niet gelijk aan tankercapaciteit</t>
        </is>
      </c>
    </row>
    <row r="49" ht="27" customHeight="1">
      <c r="A49" s="14" t="inlineStr">
        <is>
          <t>qL</t>
        </is>
      </c>
      <c r="B49" s="13" t="inlineStr">
        <is>
          <t>Netto LNG-overslag</t>
        </is>
      </c>
      <c r="C49" s="13" t="inlineStr">
        <is>
          <t>m3/uur</t>
        </is>
      </c>
      <c r="D49" s="35" t="n">
        <v>10000</v>
      </c>
      <c r="E49" s="32">
        <f>$D49</f>
        <v/>
      </c>
      <c r="F49" s="32">
        <f>$D49</f>
        <v/>
      </c>
      <c r="G49" s="13" t="inlineStr">
        <is>
          <t>Rekenaanname</t>
        </is>
      </c>
      <c r="H49" s="13" t="inlineStr">
        <is>
          <t>Lager dan 15.000 m3/uur in Gate voorbeeld [5]</t>
        </is>
      </c>
    </row>
    <row r="50" ht="27" customHeight="1">
      <c r="A50" s="14" t="inlineStr">
        <is>
          <t>moorL</t>
        </is>
      </c>
      <c r="B50" s="13" t="inlineStr">
        <is>
          <t>Overige tijd LNG</t>
        </is>
      </c>
      <c r="C50" s="13" t="inlineStr">
        <is>
          <t>uur/call</t>
        </is>
      </c>
      <c r="D50" s="35" t="n">
        <v>8</v>
      </c>
      <c r="E50" s="32">
        <f>$D50</f>
        <v/>
      </c>
      <c r="F50" s="32">
        <f>$D50</f>
        <v/>
      </c>
      <c r="G50" s="13" t="inlineStr">
        <is>
          <t>Rekenaanname</t>
        </is>
      </c>
      <c r="H50" s="13" t="inlineStr">
        <is>
          <t>Mooring, aansluiten, koelen, checks en vertrek</t>
        </is>
      </c>
    </row>
    <row r="51" ht="27" customHeight="1">
      <c r="A51" s="14" t="inlineStr">
        <is>
          <t>tanks</t>
        </is>
      </c>
      <c r="B51" s="13" t="inlineStr">
        <is>
          <t>Aantal LNG-tanks</t>
        </is>
      </c>
      <c r="C51" s="13" t="inlineStr">
        <is>
          <t>aantal</t>
        </is>
      </c>
      <c r="D51" s="35" t="n">
        <v>3</v>
      </c>
      <c r="E51" s="32">
        <f>$D51</f>
        <v/>
      </c>
      <c r="F51" s="32">
        <f>$D51</f>
        <v/>
      </c>
      <c r="G51" s="13" t="inlineStr">
        <is>
          <t>Ontwerpvoorstel</t>
        </is>
      </c>
      <c r="H51" s="13" t="inlineStr">
        <is>
          <t>Referentieschaal Gate [5], geen vastgestelde eis</t>
        </is>
      </c>
    </row>
    <row r="52" ht="27" customHeight="1">
      <c r="A52" s="14" t="inlineStr">
        <is>
          <t>tankSize</t>
        </is>
      </c>
      <c r="B52" s="13" t="inlineStr">
        <is>
          <t>Nominale inhoud per LNG-tank</t>
        </is>
      </c>
      <c r="C52" s="13" t="inlineStr">
        <is>
          <t>m3</t>
        </is>
      </c>
      <c r="D52" s="35" t="n">
        <v>180000</v>
      </c>
      <c r="E52" s="32">
        <f>$D52</f>
        <v/>
      </c>
      <c r="F52" s="32">
        <f>$D52</f>
        <v/>
      </c>
      <c r="G52" s="13" t="inlineStr">
        <is>
          <t>Ontwerpvoorstel</t>
        </is>
      </c>
      <c r="H52" s="13" t="inlineStr">
        <is>
          <t>[5] Gate terminal: totaal 540.000 m3</t>
        </is>
      </c>
    </row>
    <row r="53" ht="27" customHeight="1">
      <c r="A53" s="14" t="inlineStr">
        <is>
          <t>lowL</t>
        </is>
      </c>
      <c r="B53" s="13" t="inlineStr">
        <is>
          <t>Ondergrens LNG-tankvulling</t>
        </is>
      </c>
      <c r="C53" s="13" t="inlineStr">
        <is>
          <t>deel</t>
        </is>
      </c>
      <c r="D53" s="36" t="n">
        <v>0.1</v>
      </c>
      <c r="E53" s="33">
        <f>$D53</f>
        <v/>
      </c>
      <c r="F53" s="33">
        <f>$D53</f>
        <v/>
      </c>
      <c r="G53" s="13" t="inlineStr">
        <is>
          <t>Rekenaanname</t>
        </is>
      </c>
      <c r="H53" s="13" t="inlineStr">
        <is>
          <t>Heel; technische grens nog bevestigen</t>
        </is>
      </c>
    </row>
    <row r="54" ht="27" customHeight="1">
      <c r="A54" s="14" t="inlineStr">
        <is>
          <t>highL</t>
        </is>
      </c>
      <c r="B54" s="13" t="inlineStr">
        <is>
          <t>Bovengrens LNG-tankvulling</t>
        </is>
      </c>
      <c r="C54" s="13" t="inlineStr">
        <is>
          <t>deel</t>
        </is>
      </c>
      <c r="D54" s="36" t="n">
        <v>0.9</v>
      </c>
      <c r="E54" s="33">
        <f>$D54</f>
        <v/>
      </c>
      <c r="F54" s="33">
        <f>$D54</f>
        <v/>
      </c>
      <c r="G54" s="13" t="inlineStr">
        <is>
          <t>Rekenaanname</t>
        </is>
      </c>
      <c r="H54" s="13" t="inlineStr">
        <is>
          <t>Vrije tankruimte; technische grens nog bevestigen</t>
        </is>
      </c>
    </row>
    <row r="55" ht="27" customHeight="1">
      <c r="A55" s="14" t="inlineStr">
        <is>
          <t>bufferL</t>
        </is>
      </c>
      <c r="B55" s="13" t="inlineStr">
        <is>
          <t>Buffer LNG bij aankomst</t>
        </is>
      </c>
      <c r="C55" s="13" t="inlineStr">
        <is>
          <t>dagen</t>
        </is>
      </c>
      <c r="D55" s="35" t="n">
        <v>7</v>
      </c>
      <c r="E55" s="32">
        <f>$D55</f>
        <v/>
      </c>
      <c r="F55" s="32">
        <f>$D55</f>
        <v/>
      </c>
      <c r="G55" s="13" t="inlineStr">
        <is>
          <t>Rekenaanname</t>
        </is>
      </c>
      <c r="H55" s="13" t="inlineStr">
        <is>
          <t>Operationele voorraad naast ontvangstruimte volledige parcel</t>
        </is>
      </c>
    </row>
    <row r="56" ht="27" customHeight="1">
      <c r="A56" s="14" t="inlineStr">
        <is>
          <t>gasRatio</t>
        </is>
      </c>
      <c r="B56" s="13" t="inlineStr">
        <is>
          <t>Gas uit 1 m3 LNG</t>
        </is>
      </c>
      <c r="C56" s="13" t="inlineStr">
        <is>
          <t>Nm3/m3</t>
        </is>
      </c>
      <c r="D56" s="35" t="n">
        <v>600</v>
      </c>
      <c r="E56" s="32">
        <f>$D56</f>
        <v/>
      </c>
      <c r="F56" s="32">
        <f>$D56</f>
        <v/>
      </c>
      <c r="G56" s="13" t="inlineStr">
        <is>
          <t>Referentiewaarde</t>
        </is>
      </c>
      <c r="H56" s="13" t="inlineStr">
        <is>
          <t>[5] Gate; gascondities en kwaliteit nader vastleggen</t>
        </is>
      </c>
    </row>
    <row r="57" ht="27" customHeight="1">
      <c r="A57" s="14" t="inlineStr">
        <is>
          <t>mwhL</t>
        </is>
      </c>
      <c r="B57" s="13" t="inlineStr">
        <is>
          <t>Energie-inhoud LNG</t>
        </is>
      </c>
      <c r="C57" s="13" t="inlineStr">
        <is>
          <t>MWh/m3</t>
        </is>
      </c>
      <c r="D57" s="35" t="n">
        <v>7</v>
      </c>
      <c r="E57" s="32">
        <f>$D57</f>
        <v/>
      </c>
      <c r="F57" s="32">
        <f>$D57</f>
        <v/>
      </c>
      <c r="G57" s="13" t="inlineStr">
        <is>
          <t>Referentiewaarde</t>
        </is>
      </c>
      <c r="H57" s="13" t="inlineStr">
        <is>
          <t>[5] Gate opleidingspresentatie; productspecificatie vereist</t>
        </is>
      </c>
    </row>
    <row r="58" ht="27" customHeight="1">
      <c r="A58" s="14" t="inlineStr">
        <is>
          <t>powerShare</t>
        </is>
      </c>
      <c r="B58" s="13" t="inlineStr">
        <is>
          <t>LNG naar elektriciteitscentrale</t>
        </is>
      </c>
      <c r="C58" s="13" t="inlineStr">
        <is>
          <t>deel</t>
        </is>
      </c>
      <c r="D58" s="36" t="n">
        <v>0.5</v>
      </c>
      <c r="E58" s="33">
        <f>$D58</f>
        <v/>
      </c>
      <c r="F58" s="33">
        <f>$D58</f>
        <v/>
      </c>
      <c r="G58" s="13" t="inlineStr">
        <is>
          <t>Rekenvoorbeeld</t>
        </is>
      </c>
      <c r="H58" s="13" t="inlineStr">
        <is>
          <t>Niet vastgesteld; rest naar regionaal gasnet</t>
        </is>
      </c>
    </row>
    <row r="59" ht="27" customHeight="1">
      <c r="A59" s="14" t="inlineStr">
        <is>
          <t>eta</t>
        </is>
      </c>
      <c r="B59" s="13" t="inlineStr">
        <is>
          <t>Elektrisch rendement</t>
        </is>
      </c>
      <c r="C59" s="13" t="inlineStr">
        <is>
          <t>deel</t>
        </is>
      </c>
      <c r="D59" s="36" t="n">
        <v>0.6</v>
      </c>
      <c r="E59" s="33">
        <f>$D59</f>
        <v/>
      </c>
      <c r="F59" s="33">
        <f>$D59</f>
        <v/>
      </c>
      <c r="G59" s="13" t="inlineStr">
        <is>
          <t>Rekenvoorbeeld</t>
        </is>
      </c>
      <c r="H59" s="13" t="inlineStr">
        <is>
          <t>CCGT-aanname voor energiebalans, geen leveranciersontwerp</t>
        </is>
      </c>
    </row>
    <row r="60" ht="27" customHeight="1">
      <c r="A60" s="14" t="inlineStr">
        <is>
          <t>loadPower</t>
        </is>
      </c>
      <c r="B60" s="13" t="inlineStr">
        <is>
          <t>Benuttingsfactor centrale</t>
        </is>
      </c>
      <c r="C60" s="13" t="inlineStr">
        <is>
          <t>deel</t>
        </is>
      </c>
      <c r="D60" s="36" t="n">
        <v>0.85</v>
      </c>
      <c r="E60" s="33">
        <f>$D60</f>
        <v/>
      </c>
      <c r="F60" s="33">
        <f>$D60</f>
        <v/>
      </c>
      <c r="G60" s="13" t="inlineStr">
        <is>
          <t>Rekenvoorbeeld</t>
        </is>
      </c>
      <c r="H60" s="13" t="inlineStr">
        <is>
          <t>Voor vermogen uit jaarlijkse energie</t>
        </is>
      </c>
    </row>
    <row r="61" ht="27" customHeight="1">
      <c r="A61" s="14" t="inlineStr">
        <is>
          <t>LOA</t>
        </is>
      </c>
      <c r="B61" s="13" t="inlineStr">
        <is>
          <t>Maatgevende LOA regulier</t>
        </is>
      </c>
      <c r="C61" s="13" t="inlineStr">
        <is>
          <t>m</t>
        </is>
      </c>
      <c r="D61" s="35" t="n">
        <v>334</v>
      </c>
      <c r="E61" s="32">
        <f>$D61</f>
        <v/>
      </c>
      <c r="F61" s="32">
        <f>$D61</f>
        <v/>
      </c>
      <c r="G61" s="13" t="inlineStr">
        <is>
          <t>Deel 1</t>
        </is>
      </c>
      <c r="H61" s="13" t="inlineStr">
        <is>
          <t>[2] EVER LUCENT; MOZAH buiten reguliere vloot</t>
        </is>
      </c>
    </row>
    <row r="62" ht="27" customHeight="1">
      <c r="A62" s="14" t="inlineStr">
        <is>
          <t>beam</t>
        </is>
      </c>
      <c r="B62" s="13" t="inlineStr">
        <is>
          <t>Maatgevende breedte regulier</t>
        </is>
      </c>
      <c r="C62" s="13" t="inlineStr">
        <is>
          <t>m</t>
        </is>
      </c>
      <c r="D62" s="35" t="n">
        <v>48.2</v>
      </c>
      <c r="E62" s="32">
        <f>$D62</f>
        <v/>
      </c>
      <c r="F62" s="32">
        <f>$D62</f>
        <v/>
      </c>
      <c r="G62" s="13" t="inlineStr">
        <is>
          <t>Deel 1</t>
        </is>
      </c>
      <c r="H62" s="13" t="inlineStr">
        <is>
          <t>[2] CMA CGM RIO GRANDE</t>
        </is>
      </c>
    </row>
    <row r="63" ht="27" customHeight="1">
      <c r="A63" s="14" t="inlineStr">
        <is>
          <t>draft</t>
        </is>
      </c>
      <c r="B63" s="13" t="inlineStr">
        <is>
          <t>Maatgevende diepgang regulier</t>
        </is>
      </c>
      <c r="C63" s="13" t="inlineStr">
        <is>
          <t>m</t>
        </is>
      </c>
      <c r="D63" s="35" t="n">
        <v>14.5</v>
      </c>
      <c r="E63" s="32">
        <f>$D63</f>
        <v/>
      </c>
      <c r="F63" s="32">
        <f>$D63</f>
        <v/>
      </c>
      <c r="G63" s="13" t="inlineStr">
        <is>
          <t>Deel 1</t>
        </is>
      </c>
      <c r="H63" s="13" t="inlineStr">
        <is>
          <t>[2] Geen onvoorwaardelijke toelating bij T = 15,0 m</t>
        </is>
      </c>
    </row>
    <row r="64" ht="27" customHeight="1">
      <c r="A64" s="14" t="inlineStr">
        <is>
          <t>squat</t>
        </is>
      </c>
      <c r="B64" s="13" t="inlineStr">
        <is>
          <t>Squat</t>
        </is>
      </c>
      <c r="C64" s="13" t="inlineStr">
        <is>
          <t>m</t>
        </is>
      </c>
      <c r="D64" s="35" t="n">
        <v>0.6</v>
      </c>
      <c r="E64" s="32">
        <f>$D64</f>
        <v/>
      </c>
      <c r="F64" s="32">
        <f>$D64</f>
        <v/>
      </c>
      <c r="G64" s="13" t="inlineStr">
        <is>
          <t>Rekenaanname</t>
        </is>
      </c>
      <c r="H64" s="13" t="inlineStr">
        <is>
          <t>Dynamisch berekenen na snelheid en bodemprofiel</t>
        </is>
      </c>
    </row>
    <row r="65" ht="27" customHeight="1">
      <c r="A65" s="14" t="inlineStr">
        <is>
          <t>wave</t>
        </is>
      </c>
      <c r="B65" s="13" t="inlineStr">
        <is>
          <t>Verticale golfbeweging</t>
        </is>
      </c>
      <c r="C65" s="13" t="inlineStr">
        <is>
          <t>m</t>
        </is>
      </c>
      <c r="D65" s="35" t="n">
        <v>0.5</v>
      </c>
      <c r="E65" s="32">
        <f>$D65</f>
        <v/>
      </c>
      <c r="F65" s="32">
        <f>$D65</f>
        <v/>
      </c>
      <c r="G65" s="13" t="inlineStr">
        <is>
          <t>Rekenaanname</t>
        </is>
      </c>
      <c r="H65" s="13" t="inlineStr">
        <is>
          <t>Geen afgeleide van enkel Hs; scheepsrespons nodig</t>
        </is>
      </c>
    </row>
    <row r="66" ht="27" customHeight="1">
      <c r="A66" s="14" t="inlineStr">
        <is>
          <t>trim</t>
        </is>
      </c>
      <c r="B66" s="13" t="inlineStr">
        <is>
          <t>Dichtheid en trim</t>
        </is>
      </c>
      <c r="C66" s="13" t="inlineStr">
        <is>
          <t>m</t>
        </is>
      </c>
      <c r="D66" s="35" t="n">
        <v>0.2</v>
      </c>
      <c r="E66" s="32">
        <f>$D66</f>
        <v/>
      </c>
      <c r="F66" s="32">
        <f>$D66</f>
        <v/>
      </c>
      <c r="G66" s="13" t="inlineStr">
        <is>
          <t>Rekenaanname</t>
        </is>
      </c>
      <c r="H66" s="13" t="inlineStr">
        <is>
          <t>Belading en dichtheid nader controleren</t>
        </is>
      </c>
    </row>
    <row r="67" ht="27" customHeight="1">
      <c r="A67" s="14" t="inlineStr">
        <is>
          <t>ukc</t>
        </is>
      </c>
      <c r="B67" s="13" t="inlineStr">
        <is>
          <t>Netto kielspeling</t>
        </is>
      </c>
      <c r="C67" s="13" t="inlineStr">
        <is>
          <t>m</t>
        </is>
      </c>
      <c r="D67" s="35" t="n">
        <v>0.8</v>
      </c>
      <c r="E67" s="32">
        <f>$D67</f>
        <v/>
      </c>
      <c r="F67" s="32">
        <f>$D67</f>
        <v/>
      </c>
      <c r="G67" s="13" t="inlineStr">
        <is>
          <t>Rekenaanname</t>
        </is>
      </c>
      <c r="H67" s="13" t="inlineStr">
        <is>
          <t>Risicokeuze, toets op harde bodem</t>
        </is>
      </c>
    </row>
    <row r="68" ht="27" customHeight="1">
      <c r="A68" s="14" t="inlineStr">
        <is>
          <t>maint</t>
        </is>
      </c>
      <c r="B68" s="13" t="inlineStr">
        <is>
          <t>Survey en onderhoud</t>
        </is>
      </c>
      <c r="C68" s="13" t="inlineStr">
        <is>
          <t>m</t>
        </is>
      </c>
      <c r="D68" s="35" t="n">
        <v>0.6</v>
      </c>
      <c r="E68" s="32">
        <f>$D68</f>
        <v/>
      </c>
      <c r="F68" s="32">
        <f>$D68</f>
        <v/>
      </c>
      <c r="G68" s="13" t="inlineStr">
        <is>
          <t>Rekenaanname</t>
        </is>
      </c>
      <c r="H68" s="13" t="inlineStr">
        <is>
          <t>Aparte component t.o.v. netto UKC</t>
        </is>
      </c>
    </row>
    <row r="69" ht="27" customHeight="1">
      <c r="A69" s="14" t="inlineStr">
        <is>
          <t>dredgeTol</t>
        </is>
      </c>
      <c r="B69" s="13" t="inlineStr">
        <is>
          <t>Baggertolerantie</t>
        </is>
      </c>
      <c r="C69" s="13" t="inlineStr">
        <is>
          <t>m</t>
        </is>
      </c>
      <c r="D69" s="35" t="n">
        <v>0.5</v>
      </c>
      <c r="E69" s="32">
        <f>$D69</f>
        <v/>
      </c>
      <c r="F69" s="32">
        <f>$D69</f>
        <v/>
      </c>
      <c r="G69" s="13" t="inlineStr">
        <is>
          <t>Rekenaanname</t>
        </is>
      </c>
      <c r="H69" s="13" t="inlineStr">
        <is>
          <t>Uitvoeringsmarge</t>
        </is>
      </c>
    </row>
    <row r="70" ht="27" customHeight="1">
      <c r="A70" s="14" t="inlineStr">
        <is>
          <t>reserve</t>
        </is>
      </c>
      <c r="B70" s="13" t="inlineStr">
        <is>
          <t>Extra dieptemarge</t>
        </is>
      </c>
      <c r="C70" s="13" t="inlineStr">
        <is>
          <t>m</t>
        </is>
      </c>
      <c r="D70" s="35" t="n">
        <v>0.5</v>
      </c>
      <c r="E70" s="32">
        <f>$D70</f>
        <v/>
      </c>
      <c r="F70" s="32">
        <f>$D70</f>
        <v/>
      </c>
      <c r="G70" s="13" t="inlineStr">
        <is>
          <t>Ontwerpvoorstel</t>
        </is>
      </c>
      <c r="H70" s="13" t="inlineStr">
        <is>
          <t>Oude bodemhypothese -18,20 m herleidbaar gemaakt</t>
        </is>
      </c>
    </row>
    <row r="71" ht="27" customHeight="1">
      <c r="A71" s="14" t="inlineStr">
        <is>
          <t>turnFac</t>
        </is>
      </c>
      <c r="B71" s="13" t="inlineStr">
        <is>
          <t>Diameter draaicirkel / LOA</t>
        </is>
      </c>
      <c r="C71" s="13" t="inlineStr">
        <is>
          <t>-</t>
        </is>
      </c>
      <c r="D71" s="35" t="n">
        <v>2.1</v>
      </c>
      <c r="E71" s="32">
        <f>$D71</f>
        <v/>
      </c>
      <c r="F71" s="32">
        <f>$D71</f>
        <v/>
      </c>
      <c r="G71" s="13" t="inlineStr">
        <is>
          <t>Projectcriterium</t>
        </is>
      </c>
      <c r="H71" s="13" t="inlineStr">
        <is>
          <t>Met tug-assist; geen universele PIANC-factor</t>
        </is>
      </c>
    </row>
    <row r="72" ht="27" customHeight="1">
      <c r="A72" s="14" t="inlineStr">
        <is>
          <t>turn</t>
        </is>
      </c>
      <c r="B72" s="13" t="inlineStr">
        <is>
          <t>Gereserveerde draaicirkel</t>
        </is>
      </c>
      <c r="C72" s="13" t="inlineStr">
        <is>
          <t>m</t>
        </is>
      </c>
      <c r="D72" s="35" t="n">
        <v>720</v>
      </c>
      <c r="E72" s="32">
        <f>$D72</f>
        <v/>
      </c>
      <c r="F72" s="32">
        <f>$D72</f>
        <v/>
      </c>
      <c r="G72" s="13" t="inlineStr">
        <is>
          <t>Ontwerpvoorstel</t>
        </is>
      </c>
      <c r="H72" s="13" t="inlineStr">
        <is>
          <t>Nautische simulatie en eigen tekening toetsen</t>
        </is>
      </c>
    </row>
    <row r="73" ht="27" customHeight="1">
      <c r="A73" s="14" t="inlineStr">
        <is>
          <t>mouth</t>
        </is>
      </c>
      <c r="B73" s="13" t="inlineStr">
        <is>
          <t>Havenmond breedte</t>
        </is>
      </c>
      <c r="C73" s="13" t="inlineStr">
        <is>
          <t>m</t>
        </is>
      </c>
      <c r="D73" s="35" t="n">
        <v>350</v>
      </c>
      <c r="E73" s="32">
        <f>$D73</f>
        <v/>
      </c>
      <c r="F73" s="32">
        <f>$D73</f>
        <v/>
      </c>
      <c r="G73" s="13" t="inlineStr">
        <is>
          <t>Ontwerpvoorstel</t>
        </is>
      </c>
      <c r="H73" s="13" t="inlineStr">
        <is>
          <t>Tussen obstakels, niet tussen getekende hartlijnen</t>
        </is>
      </c>
    </row>
    <row r="74" ht="27" customHeight="1">
      <c r="A74" s="14" t="inlineStr">
        <is>
          <t>vesselSpeed</t>
        </is>
      </c>
      <c r="B74" s="13" t="inlineStr">
        <is>
          <t>Concept vaarsnelheid</t>
        </is>
      </c>
      <c r="C74" s="13" t="inlineStr">
        <is>
          <t>knopen</t>
        </is>
      </c>
      <c r="D74" s="35" t="n">
        <v>6</v>
      </c>
      <c r="E74" s="32">
        <f>$D74</f>
        <v/>
      </c>
      <c r="F74" s="32">
        <f>$D74</f>
        <v/>
      </c>
      <c r="G74" s="13" t="inlineStr">
        <is>
          <t>Rekenaanname</t>
        </is>
      </c>
      <c r="H74" s="13" t="inlineStr">
        <is>
          <t>PIANC slow: 5 tot 8 knopen</t>
        </is>
      </c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</row>
    <row r="78">
      <c r="A78" s="20" t="inlineStr">
        <is>
          <t>Bronnenregister - invoerstatus is bepalend, getallen zonder bron zijn projectaannamen</t>
        </is>
      </c>
      <c r="B78" s="20" t="n"/>
      <c r="C78" s="20" t="n"/>
      <c r="D78" s="20" t="n"/>
      <c r="E78" s="20" t="n"/>
      <c r="F78" s="20" t="n"/>
      <c r="G78" s="20" t="n"/>
      <c r="H78" s="20" t="n"/>
    </row>
    <row r="79" ht="30" customHeight="1">
      <c r="A79" s="6" t="inlineStr">
        <is>
          <t>Ref</t>
        </is>
      </c>
      <c r="B79" s="6" t="inlineStr">
        <is>
          <t>Titel</t>
        </is>
      </c>
      <c r="C79" s="6" t="inlineStr">
        <is>
          <t>Auteur</t>
        </is>
      </c>
      <c r="D79" s="6" t="str"/>
      <c r="E79" s="6" t="str"/>
      <c r="F79" s="6" t="str"/>
      <c r="G79" s="6" t="str"/>
      <c r="H79" s="6" t="inlineStr">
        <is>
          <t>Bestand of link</t>
        </is>
      </c>
    </row>
    <row r="80" ht="70" customHeight="1">
      <c r="A80" s="1" t="inlineStr">
        <is>
          <t>[1]</t>
        </is>
      </c>
      <c r="B80" s="21" t="inlineStr">
        <is>
          <t>PPD-A Case Study</t>
        </is>
      </c>
      <c r="C80" s="21" t="inlineStr">
        <is>
          <t>NHL Stenden</t>
        </is>
      </c>
      <c r="D80" s="1" t="n"/>
      <c r="E80" s="1" t="n"/>
      <c r="F80" s="1" t="n"/>
      <c r="G80" s="1" t="n"/>
      <c r="H80" s="21" t="inlineStr">
        <is>
          <t>Cursusbestand, p.1-4; onderwijsvolumes en randvoorwaarden</t>
        </is>
      </c>
    </row>
    <row r="81" ht="70" customHeight="1">
      <c r="A81" s="1" t="inlineStr">
        <is>
          <t>[2]</t>
        </is>
      </c>
      <c r="B81" s="21" t="inlineStr">
        <is>
          <t>Rapport_groep1_26-27 en scheepsonderzoek ontwerpgrenzen</t>
        </is>
      </c>
      <c r="C81" s="21" t="inlineStr">
        <is>
          <t>Projectgroep 1</t>
        </is>
      </c>
      <c r="D81" s="1" t="n"/>
      <c r="E81" s="1" t="n"/>
      <c r="F81" s="1" t="n"/>
      <c r="G81" s="1" t="n"/>
      <c r="H81" s="21" t="inlineStr">
        <is>
          <t>Huidige documenten, gelezen 22-10-2026; brongegevens schepen als invoer</t>
        </is>
      </c>
    </row>
    <row r="82" ht="70" customHeight="1">
      <c r="A82" s="1" t="inlineStr">
        <is>
          <t>[3]</t>
        </is>
      </c>
      <c r="B82" s="21" t="inlineStr">
        <is>
          <t>Harbour Approach Channels Design Guidelines WG121</t>
        </is>
      </c>
      <c r="C82" s="21" t="inlineStr">
        <is>
          <t>PIANC 2014</t>
        </is>
      </c>
      <c r="D82" s="1" t="n"/>
      <c r="E82" s="1" t="n"/>
      <c r="F82" s="1" t="n"/>
      <c r="G82" s="1" t="n"/>
      <c r="H82" s="21" t="inlineStr">
        <is>
          <t>Aangeleverd cursus-PDF; par.3.1.5, tab.3.4-3.6, p.86-89</t>
        </is>
      </c>
    </row>
    <row r="83" ht="70" customHeight="1">
      <c r="A83" s="1" t="inlineStr">
        <is>
          <t>[4]</t>
        </is>
      </c>
      <c r="B83" s="21" t="inlineStr">
        <is>
          <t>Porto Central soil information</t>
        </is>
      </c>
      <c r="C83" s="21" t="inlineStr">
        <is>
          <t>NHL Stenden</t>
        </is>
      </c>
      <c r="D83" s="1" t="n"/>
      <c r="E83" s="1" t="n"/>
      <c r="F83" s="1" t="n"/>
      <c r="G83" s="1" t="n"/>
      <c r="H83" s="21" t="inlineStr">
        <is>
          <t>Cursusbestand, bodemverdeling en verbod hergebruik</t>
        </is>
      </c>
    </row>
    <row r="84" ht="70" customHeight="1">
      <c r="A84" s="1" t="inlineStr">
        <is>
          <t>[5]</t>
        </is>
      </c>
      <c r="B84" s="21" t="inlineStr">
        <is>
          <t>Terminal Visit 16/09/22</t>
        </is>
      </c>
      <c r="C84" s="21" t="inlineStr">
        <is>
          <t>Gate terminal 2022</t>
        </is>
      </c>
      <c r="D84" s="1" t="n"/>
      <c r="E84" s="1" t="n"/>
      <c r="F84" s="1" t="n"/>
      <c r="G84" s="1" t="n"/>
      <c r="H84" s="21" t="inlineStr">
        <is>
          <t>Aangeleverd cursusbestand, slides6-8: 600,7MWh/m3,3tanks totaal540000m3</t>
        </is>
      </c>
    </row>
    <row r="85" ht="70" customHeight="1">
      <c r="A85" s="1" t="inlineStr">
        <is>
          <t>[6]</t>
        </is>
      </c>
      <c r="B85" s="21" t="inlineStr">
        <is>
          <t>O Caso Porto Central</t>
        </is>
      </c>
      <c r="C85" s="21" t="inlineStr">
        <is>
          <t>Porto Central / José Ferro da Cunha Lima 2016</t>
        </is>
      </c>
      <c r="D85" s="1" t="n"/>
      <c r="E85" s="1" t="n"/>
      <c r="F85" s="1" t="n"/>
      <c r="G85" s="1" t="n"/>
      <c r="H85" s="21" t="inlineStr">
        <is>
          <t>https://portal.antt.gov.br/documents/20122/358563/jose_ferro_lima__porto_central.pdf/2f561adb-51c5-7d3b-f7e6-f9c4d289e328?download=true&amp;t=1591713905387&amp;version=1.0</t>
        </is>
      </c>
    </row>
    <row r="86" ht="70" customHeight="1">
      <c r="A86" s="1" t="inlineStr">
        <is>
          <t>[7]</t>
        </is>
      </c>
      <c r="B86" s="21" t="inlineStr">
        <is>
          <t>About Porto Central / Layout</t>
        </is>
      </c>
      <c r="C86" s="21" t="inlineStr">
        <is>
          <t>Porto Central</t>
        </is>
      </c>
      <c r="D86" s="1" t="n"/>
      <c r="E86" s="1" t="n"/>
      <c r="F86" s="1" t="n"/>
      <c r="G86" s="1" t="n"/>
      <c r="H86" s="21" t="inlineStr">
        <is>
          <t>https://www.portocentral.com.br/en/o-porto/</t>
        </is>
      </c>
    </row>
    <row r="87" ht="70" customHeight="1">
      <c r="A87" s="1" t="inlineStr">
        <is>
          <t>[8]</t>
        </is>
      </c>
      <c r="B87" s="21" t="inlineStr">
        <is>
          <t>Phase1 construction update</t>
        </is>
      </c>
      <c r="C87" s="21" t="inlineStr">
        <is>
          <t>Porto Central 16-09-2026</t>
        </is>
      </c>
      <c r="D87" s="1" t="n"/>
      <c r="E87" s="1" t="n"/>
      <c r="F87" s="1" t="n"/>
      <c r="G87" s="1" t="n"/>
      <c r="H87" s="21" t="inlineStr">
        <is>
          <t>https://www.portocentral.com.br/en/blog/porto-central-avanca-nas-obras-da-fase-1-e-prepara-inicio-da-infraestrutura-maritima/</t>
        </is>
      </c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8" customWidth="1" min="1" max="1"/>
    <col width="39" customWidth="1" min="2" max="2"/>
    <col width="18" customWidth="1" min="3" max="3"/>
    <col width="17" customWidth="1" min="4" max="4"/>
    <col width="17" customWidth="1" min="5" max="5"/>
    <col width="17" customWidth="1" min="6" max="6"/>
    <col width="24" customWidth="1" min="7" max="7"/>
    <col width="68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Nautiek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27" customHeight="1">
      <c r="A5" s="8" t="inlineStr">
        <is>
          <t>Ref</t>
        </is>
      </c>
      <c r="B5" s="8" t="inlineStr">
        <is>
          <t>Breedtecomponent</t>
        </is>
      </c>
      <c r="C5" s="8" t="inlineStr">
        <is>
          <t>Factor B</t>
        </is>
      </c>
      <c r="D5" s="8" t="inlineStr">
        <is>
          <t>Meter</t>
        </is>
      </c>
      <c r="E5" s="8" t="inlineStr">
        <is>
          <t>Status</t>
        </is>
      </c>
      <c r="F5" s="8" t="inlineStr">
        <is>
          <t>Bron</t>
        </is>
      </c>
      <c r="G5" s="8" t="str"/>
      <c r="H5" s="8" t="inlineStr">
        <is>
          <t>Voorwaarde</t>
        </is>
      </c>
    </row>
    <row r="6" ht="35" customHeight="1">
      <c r="A6" s="9" t="inlineStr">
        <is>
          <t>N01</t>
        </is>
      </c>
      <c r="B6" s="13" t="inlineStr">
        <is>
          <t>Basismanoeuvreerbaan</t>
        </is>
      </c>
      <c r="C6" s="10" t="n">
        <v>1.5</v>
      </c>
      <c r="D6" s="32">
        <f>C6*Invoer!D62</f>
        <v/>
      </c>
      <c r="E6" s="32" t="n"/>
      <c r="F6" s="32" t="inlineStr">
        <is>
          <t>PIANC tab.3.4</t>
        </is>
      </c>
      <c r="G6" s="13" t="n"/>
      <c r="H6" s="13" t="inlineStr">
        <is>
          <t>Containerschip matig manoeuvreerbaar</t>
        </is>
      </c>
    </row>
    <row r="7" ht="35" customHeight="1">
      <c r="A7" s="9" t="inlineStr">
        <is>
          <t>N02</t>
        </is>
      </c>
      <c r="B7" s="13" t="inlineStr">
        <is>
          <t>Vaarsnelheid</t>
        </is>
      </c>
      <c r="C7" s="10" t="n">
        <v>0</v>
      </c>
      <c r="D7" s="32">
        <f>C7*Invoer!D62</f>
        <v/>
      </c>
      <c r="E7" s="32" t="n"/>
      <c r="F7" s="32" t="inlineStr">
        <is>
          <t>PIANC tab.3.5(a)</t>
        </is>
      </c>
      <c r="G7" s="13" t="n"/>
      <c r="H7" s="13" t="inlineStr">
        <is>
          <t>6kn, slow: geen aparte snelheidsbreedte</t>
        </is>
      </c>
    </row>
    <row r="8" ht="35" customHeight="1">
      <c r="A8" s="9" t="inlineStr">
        <is>
          <t>N03</t>
        </is>
      </c>
      <c r="B8" s="13" t="inlineStr">
        <is>
          <t>Dwarswind</t>
        </is>
      </c>
      <c r="C8" s="10" t="n">
        <v>0.6</v>
      </c>
      <c r="D8" s="32">
        <f>C8*Invoer!D62</f>
        <v/>
      </c>
      <c r="E8" s="32" t="n"/>
      <c r="F8" s="32" t="inlineStr">
        <is>
          <t>PIANC tab.3.5(b)</t>
        </is>
      </c>
      <c r="G8" s="13" t="n"/>
      <c r="H8" s="13" t="inlineStr">
        <is>
          <t>Moderate15-33kn; operationele grens nog toetsen</t>
        </is>
      </c>
    </row>
    <row r="9" ht="35" customHeight="1">
      <c r="A9" s="9" t="inlineStr">
        <is>
          <t>N04</t>
        </is>
      </c>
      <c r="B9" s="13" t="inlineStr">
        <is>
          <t>Dwarsstroom</t>
        </is>
      </c>
      <c r="C9" s="10" t="n">
        <v>1</v>
      </c>
      <c r="D9" s="32">
        <f>C9*Invoer!D62</f>
        <v/>
      </c>
      <c r="E9" s="32" t="n"/>
      <c r="F9" s="32" t="inlineStr">
        <is>
          <t>PIANC tab.3.5(c)</t>
        </is>
      </c>
      <c r="G9" s="13" t="n"/>
      <c r="H9" s="13" t="inlineStr">
        <is>
          <t>Moderate0,5-1,5kn; conservatieve onbevestigde klasse</t>
        </is>
      </c>
    </row>
    <row r="10" ht="35" customHeight="1">
      <c r="A10" s="9" t="inlineStr">
        <is>
          <t>N05</t>
        </is>
      </c>
      <c r="B10" s="13" t="inlineStr">
        <is>
          <t>Langsstroom</t>
        </is>
      </c>
      <c r="C10" s="10" t="n">
        <v>0</v>
      </c>
      <c r="D10" s="32">
        <f>C10*Invoer!D62</f>
        <v/>
      </c>
      <c r="E10" s="32" t="n"/>
      <c r="F10" s="32" t="inlineStr">
        <is>
          <t>PIANC tab.3.5(d)</t>
        </is>
      </c>
      <c r="G10" s="13" t="n"/>
      <c r="H10" s="13" t="inlineStr">
        <is>
          <t>Laag &lt;1,5kn aangenomen</t>
        </is>
      </c>
    </row>
    <row r="11" ht="35" customHeight="1">
      <c r="A11" s="9" t="inlineStr">
        <is>
          <t>N06</t>
        </is>
      </c>
      <c r="B11" s="13" t="inlineStr">
        <is>
          <t>Golven dwars / schuin achter</t>
        </is>
      </c>
      <c r="C11" s="10" t="n">
        <v>0.5</v>
      </c>
      <c r="D11" s="32">
        <f>C11*Invoer!D62</f>
        <v/>
      </c>
      <c r="E11" s="32" t="n"/>
      <c r="F11" s="32" t="inlineStr">
        <is>
          <t>PIANC tab.3.5(e)</t>
        </is>
      </c>
      <c r="G11" s="13" t="n"/>
      <c r="H11" s="13" t="inlineStr">
        <is>
          <t>Hs1-3m, richting nog vast te leggen</t>
        </is>
      </c>
    </row>
    <row r="12" ht="35" customHeight="1">
      <c r="A12" s="9" t="inlineStr">
        <is>
          <t>N07</t>
        </is>
      </c>
      <c r="B12" s="13" t="inlineStr">
        <is>
          <t>Navigatiehulpmiddelen</t>
        </is>
      </c>
      <c r="C12" s="10" t="n">
        <v>0</v>
      </c>
      <c r="D12" s="32">
        <f>C12*Invoer!D62</f>
        <v/>
      </c>
      <c r="E12" s="32" t="n"/>
      <c r="F12" s="32" t="inlineStr">
        <is>
          <t>PIANC tab.3.5(f)</t>
        </is>
      </c>
      <c r="G12" s="13" t="n"/>
      <c r="H12" s="13" t="inlineStr">
        <is>
          <t>Goede betonning, loodsen en DGPS voorzien</t>
        </is>
      </c>
    </row>
    <row r="13" ht="35" customHeight="1">
      <c r="A13" s="9" t="inlineStr">
        <is>
          <t>N08</t>
        </is>
      </c>
      <c r="B13" s="13" t="inlineStr">
        <is>
          <t>Bodemoppervlak</t>
        </is>
      </c>
      <c r="C13" s="27">
        <f>IF(D25/Invoer!D63&gt;=1.5,0,0.2)</f>
        <v/>
      </c>
      <c r="D13" s="32">
        <f>C13*Invoer!D62</f>
        <v/>
      </c>
      <c r="E13" s="32" t="n"/>
      <c r="F13" s="32" t="inlineStr">
        <is>
          <t>PIANC tab.3.5(g)</t>
        </is>
      </c>
      <c r="G13" s="13" t="n"/>
      <c r="H13" s="13" t="inlineStr">
        <is>
          <t>Conservatief hard/ruw; h&lt;1,5T</t>
        </is>
      </c>
    </row>
    <row r="14" ht="35" customHeight="1">
      <c r="A14" s="9" t="inlineStr">
        <is>
          <t>N09</t>
        </is>
      </c>
      <c r="B14" s="13" t="inlineStr">
        <is>
          <t>Relatieve waterdiepte</t>
        </is>
      </c>
      <c r="C14" s="27">
        <f>IF(D25/Invoer!D63&gt;=1.5,0,IF(D25/Invoer!D63&gt;=1.25,0.1,0.2))</f>
        <v/>
      </c>
      <c r="D14" s="32">
        <f>C14*Invoer!D62</f>
        <v/>
      </c>
      <c r="E14" s="32" t="n"/>
      <c r="F14" s="32" t="inlineStr">
        <is>
          <t>PIANC tab.3.5(h)</t>
        </is>
      </c>
      <c r="G14" s="13" t="n"/>
      <c r="H14" s="13" t="inlineStr">
        <is>
          <t>1,25 &lt;= h/T &lt;1,5 voor buitengeul</t>
        </is>
      </c>
    </row>
    <row r="15" ht="35" customHeight="1">
      <c r="A15" s="9" t="inlineStr">
        <is>
          <t>N10</t>
        </is>
      </c>
      <c r="B15" s="13" t="inlineStr">
        <is>
          <t>Oevermarge links</t>
        </is>
      </c>
      <c r="C15" s="10" t="n">
        <v>0.3</v>
      </c>
      <c r="D15" s="32">
        <f>C15*Invoer!D62</f>
        <v/>
      </c>
      <c r="E15" s="32" t="n"/>
      <c r="F15" s="32" t="inlineStr">
        <is>
          <t>PIANC tab.3.6</t>
        </is>
      </c>
      <c r="G15" s="13" t="n"/>
      <c r="H15" s="13" t="inlineStr">
        <is>
          <t>Talud/ondiepte, slow; geen harde verticale oever</t>
        </is>
      </c>
    </row>
    <row r="16" ht="35" customHeight="1">
      <c r="A16" s="9" t="inlineStr">
        <is>
          <t>N11</t>
        </is>
      </c>
      <c r="B16" s="13" t="inlineStr">
        <is>
          <t>Oevermarge rechts</t>
        </is>
      </c>
      <c r="C16" s="10" t="n">
        <v>0.3</v>
      </c>
      <c r="D16" s="32">
        <f>C16*Invoer!D62</f>
        <v/>
      </c>
      <c r="E16" s="32" t="n"/>
      <c r="F16" s="32" t="inlineStr">
        <is>
          <t>PIANC tab.3.6</t>
        </is>
      </c>
      <c r="G16" s="13" t="n"/>
      <c r="H16" s="13" t="inlineStr">
        <is>
          <t>Talud/ondiepte, slow; geen harde verticale oever</t>
        </is>
      </c>
    </row>
    <row r="17" ht="27" customHeight="1">
      <c r="A17" s="9" t="n"/>
      <c r="B17" s="13" t="n"/>
      <c r="C17" s="9" t="n"/>
      <c r="D17" s="32" t="n"/>
      <c r="E17" s="32" t="n"/>
      <c r="F17" s="32" t="n"/>
      <c r="G17" s="13" t="n"/>
      <c r="H17" s="13" t="n"/>
    </row>
    <row r="18" ht="27" customHeight="1">
      <c r="A18" s="9" t="n"/>
      <c r="B18" s="13" t="inlineStr">
        <is>
          <t>Som breedtefactoren</t>
        </is>
      </c>
      <c r="C18" s="9">
        <f>SUM(C6:C16)</f>
        <v/>
      </c>
      <c r="D18" s="32" t="n"/>
      <c r="E18" s="32" t="n"/>
      <c r="F18" s="32" t="n"/>
      <c r="G18" s="13" t="n"/>
      <c r="H18" s="13" t="n"/>
    </row>
    <row r="19" ht="27" customHeight="1">
      <c r="A19" s="9" t="n"/>
      <c r="B19" s="13" t="inlineStr">
        <is>
          <t>Benodigde rechte buitengeul</t>
        </is>
      </c>
      <c r="C19" s="9" t="inlineStr">
        <is>
          <t>m</t>
        </is>
      </c>
      <c r="D19" s="32">
        <f>C18*Invoer!D62</f>
        <v/>
      </c>
      <c r="E19" s="32" t="n"/>
      <c r="F19" s="32" t="n"/>
      <c r="G19" s="13" t="n"/>
      <c r="H19" s="13" t="n"/>
    </row>
    <row r="20" ht="27" customHeight="1">
      <c r="A20" s="9" t="n"/>
      <c r="B20" s="13" t="inlineStr">
        <is>
          <t>Voorgestelde geulbreedte</t>
        </is>
      </c>
      <c r="C20" s="9" t="inlineStr">
        <is>
          <t>m</t>
        </is>
      </c>
      <c r="D20" s="32">
        <f>ROUNDUP(D19/10,0)*10</f>
        <v/>
      </c>
      <c r="E20" s="32" t="n"/>
      <c r="F20" s="32" t="n"/>
      <c r="G20" s="13" t="n"/>
      <c r="H20" s="13" t="n"/>
    </row>
    <row r="21" ht="27" customHeight="1">
      <c r="A21" s="9" t="n"/>
      <c r="B21" s="13" t="n"/>
      <c r="C21" s="9" t="n"/>
      <c r="D21" s="32" t="n"/>
      <c r="E21" s="32" t="n"/>
      <c r="F21" s="32" t="n"/>
      <c r="G21" s="13" t="n"/>
      <c r="H21" s="13" t="n"/>
    </row>
    <row r="22" ht="27" customHeight="1">
      <c r="A22" s="23" t="inlineStr">
        <is>
          <t>Verticale maatvoering en manoeuvreren</t>
        </is>
      </c>
      <c r="B22" s="26" t="n"/>
      <c r="C22" s="23" t="n"/>
      <c r="D22" s="34" t="n"/>
      <c r="E22" s="34" t="n"/>
      <c r="F22" s="34" t="n"/>
      <c r="G22" s="26" t="n"/>
      <c r="H22" s="26" t="n"/>
    </row>
    <row r="23" ht="27" customHeight="1">
      <c r="A23" s="9" t="n"/>
      <c r="B23" s="13" t="n"/>
      <c r="C23" s="9" t="n"/>
      <c r="D23" s="32" t="n"/>
      <c r="E23" s="32" t="n"/>
      <c r="F23" s="32" t="n"/>
      <c r="G23" s="13" t="n"/>
      <c r="H23" s="13" t="n"/>
    </row>
    <row r="24" ht="27" customHeight="1">
      <c r="A24" s="9" t="inlineStr">
        <is>
          <t>N12</t>
        </is>
      </c>
      <c r="B24" s="13" t="inlineStr">
        <is>
          <t>Som benodigde diepte</t>
        </is>
      </c>
      <c r="C24" s="9" t="inlineStr">
        <is>
          <t>m</t>
        </is>
      </c>
      <c r="D24" s="32">
        <f>SUM(Invoer!D63,Invoer!D64,Invoer!D65,Invoer!D66,Invoer!D67,Invoer!D68,Invoer!D69)</f>
        <v/>
      </c>
      <c r="E24" s="32" t="n"/>
      <c r="F24" s="32" t="n"/>
      <c r="G24" s="13" t="n"/>
      <c r="H24" s="13" t="inlineStr">
        <is>
          <t>Alle componenten als invoer zichtbaar</t>
        </is>
      </c>
    </row>
    <row r="25" ht="27" customHeight="1">
      <c r="A25" s="9" t="inlineStr">
        <is>
          <t>N13</t>
        </is>
      </c>
      <c r="B25" s="13" t="inlineStr">
        <is>
          <t>Ontwerpdiepte incl. reserve</t>
        </is>
      </c>
      <c r="C25" s="9" t="inlineStr">
        <is>
          <t>m MLWS</t>
        </is>
      </c>
      <c r="D25" s="32">
        <f>D24+Invoer!D70</f>
        <v/>
      </c>
      <c r="E25" s="32" t="n"/>
      <c r="F25" s="32" t="n"/>
      <c r="G25" s="13" t="n"/>
      <c r="H25" s="13" t="inlineStr">
        <is>
          <t>Positieve diepte; CAD-bodemhoogte = -waarde</t>
        </is>
      </c>
    </row>
    <row r="26" ht="27" customHeight="1">
      <c r="A26" s="9" t="inlineStr">
        <is>
          <t>N14</t>
        </is>
      </c>
      <c r="B26" s="13" t="inlineStr">
        <is>
          <t>Verhouding h/T</t>
        </is>
      </c>
      <c r="C26" s="9" t="inlineStr">
        <is>
          <t>-</t>
        </is>
      </c>
      <c r="D26" s="37">
        <f>D25/Invoer!D63</f>
        <v/>
      </c>
      <c r="E26" s="32" t="n"/>
      <c r="F26" s="32" t="n"/>
      <c r="G26" s="13" t="n"/>
      <c r="H26" s="13" t="inlineStr">
        <is>
          <t>Controle op gekozen dieptefactor</t>
        </is>
      </c>
    </row>
    <row r="27" ht="27" customHeight="1">
      <c r="A27" s="9" t="inlineStr">
        <is>
          <t>N15</t>
        </is>
      </c>
      <c r="B27" s="13" t="inlineStr">
        <is>
          <t>Vereiste draaicirkel</t>
        </is>
      </c>
      <c r="C27" s="9" t="inlineStr">
        <is>
          <t>m</t>
        </is>
      </c>
      <c r="D27" s="32">
        <f>Invoer!D71*Invoer!D61</f>
        <v/>
      </c>
      <c r="E27" s="32" t="n"/>
      <c r="F27" s="32" t="n"/>
      <c r="G27" s="13" t="n"/>
      <c r="H27" s="13" t="inlineStr">
        <is>
          <t>Projectcriterium, geen universele richtlijn</t>
        </is>
      </c>
    </row>
    <row r="28" ht="27" customHeight="1">
      <c r="A28" s="9" t="inlineStr">
        <is>
          <t>N16</t>
        </is>
      </c>
      <c r="B28" s="13" t="inlineStr">
        <is>
          <t>Gereserveerde draaicirkel</t>
        </is>
      </c>
      <c r="C28" s="9" t="inlineStr">
        <is>
          <t>m</t>
        </is>
      </c>
      <c r="D28" s="32">
        <f>Invoer!D72</f>
        <v/>
      </c>
      <c r="E28" s="32" t="n"/>
      <c r="F28" s="32" t="n"/>
      <c r="G28" s="13" t="n"/>
      <c r="H28" s="13" t="inlineStr">
        <is>
          <t>Eigen plattegrond moet vrij vlak aantonen</t>
        </is>
      </c>
    </row>
    <row r="29" ht="27" customHeight="1">
      <c r="A29" s="9" t="inlineStr">
        <is>
          <t>N17</t>
        </is>
      </c>
      <c r="B29" s="13" t="inlineStr">
        <is>
          <t>Havenmond</t>
        </is>
      </c>
      <c r="C29" s="9" t="inlineStr">
        <is>
          <t>m</t>
        </is>
      </c>
      <c r="D29" s="32">
        <f>Invoer!D73</f>
        <v/>
      </c>
      <c r="E29" s="32" t="n"/>
      <c r="F29" s="32" t="n"/>
      <c r="G29" s="13" t="n"/>
      <c r="H29" s="13" t="inlineStr">
        <is>
          <t>Tussen obstakels op bodemniveau toetsen</t>
        </is>
      </c>
    </row>
    <row r="30" ht="27" customHeight="1">
      <c r="A30" s="9" t="inlineStr">
        <is>
          <t>N18</t>
        </is>
      </c>
      <c r="B30" s="13" t="inlineStr">
        <is>
          <t>Marge kanaalbreedte</t>
        </is>
      </c>
      <c r="C30" s="9" t="inlineStr">
        <is>
          <t>m</t>
        </is>
      </c>
      <c r="D30" s="32">
        <f>D20-D19</f>
        <v/>
      </c>
      <c r="E30" s="32" t="n"/>
      <c r="F30" s="32" t="n"/>
      <c r="G30" s="13" t="n"/>
      <c r="H30" s="13" t="inlineStr">
        <is>
          <t>Geen extra veiligheidsklasse</t>
        </is>
      </c>
    </row>
    <row r="31" ht="27" customHeight="1">
      <c r="A31" s="9" t="inlineStr">
        <is>
          <t>N19</t>
        </is>
      </c>
      <c r="B31" s="13" t="inlineStr">
        <is>
          <t>Kanaallengte</t>
        </is>
      </c>
      <c r="C31" s="9" t="inlineStr">
        <is>
          <t>m</t>
        </is>
      </c>
      <c r="D31" s="38" t="n">
        <v>19720</v>
      </c>
      <c r="E31" s="32" t="n"/>
      <c r="F31" s="32" t="n"/>
      <c r="G31" s="13" t="inlineStr">
        <is>
          <t>VOORLOPIG</t>
        </is>
      </c>
      <c r="H31" s="13" t="inlineStr">
        <is>
          <t>DO-tekening: 18.000 m buiten de mond (eindpunt A5 nog op -18,2 m MLWS-lijn leggen) + 1.720 m mond-draaikom</t>
        </is>
      </c>
    </row>
    <row r="32" ht="27" customHeight="1">
      <c r="A32" s="9" t="inlineStr">
        <is>
          <t>N20</t>
        </is>
      </c>
      <c r="B32" s="13" t="inlineStr">
        <is>
          <t>Indicatieve vaartijd enkele reis</t>
        </is>
      </c>
      <c r="C32" s="9" t="inlineStr">
        <is>
          <t>uur</t>
        </is>
      </c>
      <c r="D32" s="32">
        <f>IF(COUNT(D31)=1,D31/(Invoer!D74*1852),"")</f>
        <v/>
      </c>
      <c r="E32" s="32" t="n"/>
      <c r="F32" s="32" t="n"/>
      <c r="G32" s="13" t="n"/>
      <c r="H32" s="13" t="inlineStr">
        <is>
          <t>Vaartijd exclusief scheiding, sleepboten en wachten</t>
        </is>
      </c>
    </row>
    <row r="33" ht="27" customHeight="1">
      <c r="A33" s="9" t="n"/>
      <c r="B33" s="13" t="n"/>
      <c r="C33" s="9" t="n"/>
      <c r="D33" s="32" t="n"/>
      <c r="E33" s="32" t="n"/>
      <c r="F33" s="32" t="n"/>
      <c r="G33" s="13" t="n"/>
      <c r="H33" s="13" t="n"/>
    </row>
    <row r="34" ht="27" customHeight="1">
      <c r="A34" s="9" t="n"/>
      <c r="B34" s="13" t="n"/>
      <c r="C34" s="9" t="n"/>
      <c r="D34" s="32" t="n"/>
      <c r="E34" s="32" t="n"/>
      <c r="F34" s="32" t="n"/>
      <c r="G34" s="13" t="n"/>
      <c r="H34" s="13" t="n"/>
    </row>
    <row r="35" ht="27" customHeight="1">
      <c r="A35" s="23" t="inlineStr">
        <is>
          <t>Gevoeligheid bij dezelfde omstandigheden</t>
        </is>
      </c>
      <c r="B35" s="26" t="n"/>
      <c r="C35" s="23" t="n"/>
      <c r="D35" s="34" t="n"/>
      <c r="E35" s="34" t="n"/>
      <c r="F35" s="34" t="n"/>
      <c r="G35" s="26" t="n"/>
      <c r="H35" s="26" t="n"/>
    </row>
    <row r="36" ht="27" customHeight="1">
      <c r="A36" s="8" t="inlineStr">
        <is>
          <t>Ref</t>
        </is>
      </c>
      <c r="B36" s="8" t="inlineStr">
        <is>
          <t>Schipscenario</t>
        </is>
      </c>
      <c r="C36" s="8" t="inlineStr">
        <is>
          <t>Breedte m</t>
        </is>
      </c>
      <c r="D36" s="39" t="inlineStr">
        <is>
          <t>Basisfactor</t>
        </is>
      </c>
      <c r="E36" s="39" t="inlineStr">
        <is>
          <t>Extra factor</t>
        </is>
      </c>
      <c r="F36" s="39" t="inlineStr">
        <is>
          <t>Benodigde m</t>
        </is>
      </c>
      <c r="G36" s="8" t="inlineStr">
        <is>
          <t>Status</t>
        </is>
      </c>
      <c r="H36" s="13" t="n"/>
    </row>
    <row r="37" ht="27" customHeight="1">
      <c r="A37" s="9" t="inlineStr">
        <is>
          <t>S1</t>
        </is>
      </c>
      <c r="B37" s="13" t="inlineStr">
        <is>
          <t>Reguliere container</t>
        </is>
      </c>
      <c r="C37" s="9" t="n">
        <v>48.2</v>
      </c>
      <c r="D37" s="32" t="n">
        <v>1.5</v>
      </c>
      <c r="E37" s="32" t="n">
        <v>0</v>
      </c>
      <c r="F37" s="32">
        <f>C37*($C$18-$C$6+D37+E37)</f>
        <v/>
      </c>
      <c r="G37" s="13">
        <f>IF(F37&lt;=$D$20,"BINNEN BREEDTE","EXTRA BREEDTE")</f>
        <v/>
      </c>
      <c r="H37" s="13" t="n"/>
    </row>
    <row r="38" ht="27" customHeight="1">
      <c r="A38" s="9" t="inlineStr">
        <is>
          <t>S2</t>
        </is>
      </c>
      <c r="B38" s="13" t="inlineStr">
        <is>
          <t>GASLOG GREECE</t>
        </is>
      </c>
      <c r="C38" s="9" t="n">
        <v>45.8</v>
      </c>
      <c r="D38" s="32" t="n">
        <v>1.5</v>
      </c>
      <c r="E38" s="32" t="n">
        <v>0</v>
      </c>
      <c r="F38" s="32">
        <f>C38*($C$18-$C$6+D38+E38)</f>
        <v/>
      </c>
      <c r="G38" s="13">
        <f>IF(F38&lt;=$D$20,"BINNEN BREEDTE","EXTRA BREEDTE")</f>
        <v/>
      </c>
      <c r="H38" s="13" t="n"/>
    </row>
    <row r="39" ht="27" customHeight="1">
      <c r="A39" s="9" t="inlineStr">
        <is>
          <t>S3</t>
        </is>
      </c>
      <c r="B39" s="13" t="inlineStr">
        <is>
          <t>KIRA OLDENDORFF</t>
        </is>
      </c>
      <c r="C39" s="9" t="n">
        <v>32.26</v>
      </c>
      <c r="D39" s="32" t="n">
        <v>1.8</v>
      </c>
      <c r="E39" s="32" t="n">
        <v>0</v>
      </c>
      <c r="F39" s="32">
        <f>C39*($C$18-$C$6+D39+E39)</f>
        <v/>
      </c>
      <c r="G39" s="13">
        <f>IF(F39&lt;=$D$20,"BINNEN BREEDTE","EXTRA BREEDTE")</f>
        <v/>
      </c>
      <c r="H39" s="13" t="n"/>
    </row>
    <row r="40" ht="27" customHeight="1">
      <c r="A40" s="9" t="inlineStr">
        <is>
          <t>S4</t>
        </is>
      </c>
      <c r="B40" s="13" t="inlineStr">
        <is>
          <t>BYD SHENZHEN</t>
        </is>
      </c>
      <c r="C40" s="9" t="n">
        <v>37.7</v>
      </c>
      <c r="D40" s="32" t="n">
        <v>1.5</v>
      </c>
      <c r="E40" s="32" t="n">
        <v>0.2</v>
      </c>
      <c r="F40" s="32">
        <f>C40*($C$18-$C$6+D40+E40)</f>
        <v/>
      </c>
      <c r="G40" s="13">
        <f>IF(F40&lt;=$D$20,"BINNEN BREEDTE","EXTRA BREEDTE")</f>
        <v/>
      </c>
      <c r="H40" s="13" t="n"/>
    </row>
    <row r="41" ht="27" customHeight="1">
      <c r="A41" s="9" t="inlineStr">
        <is>
          <t>S5</t>
        </is>
      </c>
      <c r="B41" s="13" t="inlineStr">
        <is>
          <t>MOZAH grensscenario</t>
        </is>
      </c>
      <c r="C41" s="9" t="n">
        <v>53.8</v>
      </c>
      <c r="D41" s="32" t="n">
        <v>1.5</v>
      </c>
      <c r="E41" s="32" t="n">
        <v>0</v>
      </c>
      <c r="F41" s="32">
        <f>C41*($C$18-$C$6+D41+E41)</f>
        <v/>
      </c>
      <c r="G41" s="13">
        <f>IF(F41&lt;=$D$20,"BINNEN BREEDTE","EXTRA BREEDTE")</f>
        <v/>
      </c>
      <c r="H41" s="13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8" customWidth="1" min="1" max="1"/>
    <col width="39" customWidth="1" min="2" max="2"/>
    <col width="18" customWidth="1" min="3" max="3"/>
    <col width="17" customWidth="1" min="4" max="4"/>
    <col width="17" customWidth="1" min="5" max="5"/>
    <col width="17" customWidth="1" min="6" max="6"/>
    <col width="24" customWidth="1" min="7" max="7"/>
    <col width="68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Containers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27" customHeight="1">
      <c r="A5" s="8" t="inlineStr">
        <is>
          <t>Ref</t>
        </is>
      </c>
      <c r="B5" s="8" t="inlineStr">
        <is>
          <t>Berekening</t>
        </is>
      </c>
      <c r="C5" s="8" t="inlineStr">
        <is>
          <t>Eenheid</t>
        </is>
      </c>
      <c r="D5" s="8" t="inlineStr">
        <is>
          <t>2025</t>
        </is>
      </c>
      <c r="E5" s="8" t="inlineStr">
        <is>
          <t>2035</t>
        </is>
      </c>
      <c r="F5" s="8" t="inlineStr">
        <is>
          <t>2045</t>
        </is>
      </c>
      <c r="G5" s="8" t="inlineStr">
        <is>
          <t>Status</t>
        </is>
      </c>
      <c r="H5" s="8" t="inlineStr">
        <is>
          <t>Toelichting</t>
        </is>
      </c>
    </row>
    <row r="6" ht="27" customHeight="1">
      <c r="A6" s="9" t="inlineStr">
        <is>
          <t>C01</t>
        </is>
      </c>
      <c r="B6" s="13" t="inlineStr">
        <is>
          <t>TEU per fysieke container</t>
        </is>
      </c>
      <c r="C6" s="13" t="inlineStr">
        <is>
          <t>TEU/box</t>
        </is>
      </c>
      <c r="D6" s="40">
        <f>(Invoer!D13+2)/(Invoer!D13+1)</f>
        <v/>
      </c>
      <c r="E6" s="40">
        <f>(Invoer!E13+2)/(Invoer!E13+1)</f>
        <v/>
      </c>
      <c r="F6" s="40">
        <f>(Invoer!F13+2)/(Invoer!F13+1)</f>
        <v/>
      </c>
      <c r="G6" s="9" t="n"/>
      <c r="H6" s="13" t="inlineStr">
        <is>
          <t>N20 = 1,2 N40; box is één fysieke container</t>
        </is>
      </c>
    </row>
    <row r="7" ht="27" customHeight="1">
      <c r="A7" s="9" t="inlineStr">
        <is>
          <t>C02</t>
        </is>
      </c>
      <c r="B7" s="13" t="inlineStr">
        <is>
          <t>Jaarlijkse kraanbewegingen</t>
        </is>
      </c>
      <c r="C7" s="13" t="inlineStr">
        <is>
          <t>box/jaar</t>
        </is>
      </c>
      <c r="D7" s="32">
        <f>Invoer!D6/D6</f>
        <v/>
      </c>
      <c r="E7" s="32">
        <f>Invoer!E6/E6</f>
        <v/>
      </c>
      <c r="F7" s="32">
        <f>Invoer!F6/F6</f>
        <v/>
      </c>
      <c r="G7" s="9" t="n"/>
      <c r="H7" s="13" t="inlineStr">
        <is>
          <t>Eén kadetransfer per box; rehandles apart</t>
        </is>
      </c>
    </row>
    <row r="8" ht="27" customHeight="1">
      <c r="A8" s="9" t="inlineStr">
        <is>
          <t>C03</t>
        </is>
      </c>
      <c r="B8" s="13" t="inlineStr">
        <is>
          <t>Gemiddelde containercalls</t>
        </is>
      </c>
      <c r="C8" s="13" t="inlineStr">
        <is>
          <t>calls/jaar</t>
        </is>
      </c>
      <c r="D8" s="32">
        <f>Invoer!D6/Invoer!D14</f>
        <v/>
      </c>
      <c r="E8" s="32">
        <f>Invoer!E6/Invoer!E14</f>
        <v/>
      </c>
      <c r="F8" s="32">
        <f>Invoer!F6/Invoer!F14</f>
        <v/>
      </c>
      <c r="G8" s="9" t="n"/>
      <c r="H8" s="13" t="inlineStr">
        <is>
          <t>Gemiddeld; afgeronde planning staat eronder</t>
        </is>
      </c>
    </row>
    <row r="9" ht="27" customHeight="1">
      <c r="A9" s="9" t="inlineStr">
        <is>
          <t>C04</t>
        </is>
      </c>
      <c r="B9" s="13" t="inlineStr">
        <is>
          <t>Calls afgerond naar boven</t>
        </is>
      </c>
      <c r="C9" s="13" t="inlineStr">
        <is>
          <t>calls/jaar</t>
        </is>
      </c>
      <c r="D9" s="41">
        <f>ROUNDUP(D8,0)</f>
        <v/>
      </c>
      <c r="E9" s="41">
        <f>ROUNDUP(E8,0)</f>
        <v/>
      </c>
      <c r="F9" s="41">
        <f>ROUNDUP(F8,0)</f>
        <v/>
      </c>
      <c r="G9" s="9" t="n"/>
      <c r="H9" s="13" t="inlineStr">
        <is>
          <t>Voor planning en verkeersbelasting</t>
        </is>
      </c>
    </row>
    <row r="10" ht="27" customHeight="1">
      <c r="A10" s="9" t="inlineStr">
        <is>
          <t>C05</t>
        </is>
      </c>
      <c r="B10" s="13" t="inlineStr">
        <is>
          <t>Kraanbewegingen per call</t>
        </is>
      </c>
      <c r="C10" s="13" t="inlineStr">
        <is>
          <t>box/call</t>
        </is>
      </c>
      <c r="D10" s="32">
        <f>Invoer!D14/D6</f>
        <v/>
      </c>
      <c r="E10" s="32">
        <f>Invoer!E14/E6</f>
        <v/>
      </c>
      <c r="F10" s="32">
        <f>Invoer!F14/F6</f>
        <v/>
      </c>
      <c r="G10" s="9" t="n"/>
      <c r="H10" s="13" t="inlineStr">
        <is>
          <t>Parcel is kadedoorzet; geen gehele scheepscapaciteit</t>
        </is>
      </c>
    </row>
    <row r="11" ht="27" customHeight="1">
      <c r="A11" s="9" t="inlineStr">
        <is>
          <t>C06</t>
        </is>
      </c>
      <c r="B11" s="13" t="inlineStr">
        <is>
          <t>Effectieve scheepsproductiviteit</t>
        </is>
      </c>
      <c r="C11" s="13" t="inlineStr">
        <is>
          <t>box/uur</t>
        </is>
      </c>
      <c r="D11" s="32">
        <f>Invoer!D15*Invoer!D16</f>
        <v/>
      </c>
      <c r="E11" s="32">
        <f>Invoer!E15*Invoer!E16</f>
        <v/>
      </c>
      <c r="F11" s="32">
        <f>Invoer!F15*Invoer!F16</f>
        <v/>
      </c>
      <c r="G11" s="9" t="n"/>
      <c r="H11" s="13" t="inlineStr">
        <is>
          <t>Netto productiviteit per kraan x gelijktijdige kranen</t>
        </is>
      </c>
    </row>
    <row r="12" ht="27" customHeight="1">
      <c r="A12" s="9" t="inlineStr">
        <is>
          <t>C07</t>
        </is>
      </c>
      <c r="B12" s="13" t="inlineStr">
        <is>
          <t>Overslag plus overige tijd</t>
        </is>
      </c>
      <c r="C12" s="13" t="inlineStr">
        <is>
          <t>uur/call</t>
        </is>
      </c>
      <c r="D12" s="32">
        <f>D10/D11+Invoer!D17</f>
        <v/>
      </c>
      <c r="E12" s="32">
        <f>E10/E11+Invoer!E17</f>
        <v/>
      </c>
      <c r="F12" s="32">
        <f>F10/F11+Invoer!F17</f>
        <v/>
      </c>
      <c r="G12" s="9" t="n"/>
      <c r="H12" s="13" t="inlineStr">
        <is>
          <t>Vervangt de oude vaste aanname van 28 uur</t>
        </is>
      </c>
    </row>
    <row r="13" ht="27" customHeight="1">
      <c r="A13" s="9" t="inlineStr">
        <is>
          <t>C08</t>
        </is>
      </c>
      <c r="B13" s="13" t="inlineStr">
        <is>
          <t>Ligplaatsuren totaal</t>
        </is>
      </c>
      <c r="C13" s="13" t="inlineStr">
        <is>
          <t>uur/jaar</t>
        </is>
      </c>
      <c r="D13" s="32">
        <f>D9*D12</f>
        <v/>
      </c>
      <c r="E13" s="32">
        <f>E9*E12</f>
        <v/>
      </c>
      <c r="F13" s="32">
        <f>F9*F12</f>
        <v/>
      </c>
      <c r="G13" s="9" t="n"/>
      <c r="H13" s="13" t="inlineStr">
        <is>
          <t>Afgeronde calls voor conservatieve bezetting</t>
        </is>
      </c>
    </row>
    <row r="14" ht="27" customHeight="1">
      <c r="A14" s="9" t="inlineStr">
        <is>
          <t>C09</t>
        </is>
      </c>
      <c r="B14" s="13" t="inlineStr">
        <is>
          <t>Beschikbare uren per berth</t>
        </is>
      </c>
      <c r="C14" s="13" t="inlineStr">
        <is>
          <t>uur/jaar</t>
        </is>
      </c>
      <c r="D14" s="32">
        <f>Invoer!D10*24*Invoer!D11</f>
        <v/>
      </c>
      <c r="E14" s="32">
        <f>Invoer!E10*24*Invoer!E11</f>
        <v/>
      </c>
      <c r="F14" s="32">
        <f>Invoer!F10*24*Invoer!F11</f>
        <v/>
      </c>
      <c r="G14" s="9" t="n"/>
      <c r="H14" s="13" t="inlineStr">
        <is>
          <t>5% totale berthuitval als ontwerphypothese</t>
        </is>
      </c>
    </row>
    <row r="15" ht="27" customHeight="1">
      <c r="A15" s="9" t="inlineStr">
        <is>
          <t>C10</t>
        </is>
      </c>
      <c r="B15" s="13" t="inlineStr">
        <is>
          <t>Benodigde containerligplaatsen</t>
        </is>
      </c>
      <c r="C15" s="13" t="inlineStr">
        <is>
          <t>aantal</t>
        </is>
      </c>
      <c r="D15" s="41">
        <f>ROUNDUP(D13/(D14*Invoer!D12),0)</f>
        <v/>
      </c>
      <c r="E15" s="41">
        <f>ROUNDUP(E13/(E14*Invoer!E12),0)</f>
        <v/>
      </c>
      <c r="F15" s="41">
        <f>ROUNDUP(F13/(F14*Invoer!F12),0)</f>
        <v/>
      </c>
      <c r="G15" s="9" t="n"/>
      <c r="H15" s="13" t="inlineStr">
        <is>
          <t>Toets is capaciteitsberekening, geen wachtrijbewijs</t>
        </is>
      </c>
    </row>
    <row r="16" ht="27" customHeight="1">
      <c r="A16" s="9" t="inlineStr">
        <is>
          <t>C11</t>
        </is>
      </c>
      <c r="B16" s="13" t="inlineStr">
        <is>
          <t>Geplande containerligplaatsen</t>
        </is>
      </c>
      <c r="C16" s="13" t="inlineStr">
        <is>
          <t>aantal</t>
        </is>
      </c>
      <c r="D16" s="41">
        <f>Invoer!D18</f>
        <v/>
      </c>
      <c r="E16" s="41">
        <f>Invoer!E18</f>
        <v/>
      </c>
      <c r="F16" s="41">
        <f>Invoer!F18</f>
        <v/>
      </c>
      <c r="G16" s="9" t="n"/>
      <c r="H16" s="13" t="inlineStr">
        <is>
          <t>Intekenen na keuze</t>
        </is>
      </c>
    </row>
    <row r="17" ht="27" customHeight="1">
      <c r="A17" s="9" t="inlineStr">
        <is>
          <t>C12</t>
        </is>
      </c>
      <c r="B17" s="13" t="inlineStr">
        <is>
          <t>Bezetting geplande kades</t>
        </is>
      </c>
      <c r="C17" s="13" t="inlineStr">
        <is>
          <t>deel</t>
        </is>
      </c>
      <c r="D17" s="33">
        <f>D13/(D14*D16)</f>
        <v/>
      </c>
      <c r="E17" s="33">
        <f>E13/(E14*E16)</f>
        <v/>
      </c>
      <c r="F17" s="33">
        <f>F13/(F14*F16)</f>
        <v/>
      </c>
      <c r="G17" s="9" t="n"/>
      <c r="H17" s="13" t="inlineStr">
        <is>
          <t>Vergeleken met projectcriterium 65%</t>
        </is>
      </c>
    </row>
    <row r="18" ht="27" customHeight="1">
      <c r="A18" s="9" t="inlineStr">
        <is>
          <t>C13</t>
        </is>
      </c>
      <c r="B18" s="13" t="inlineStr">
        <is>
          <t>Geplande containerkade</t>
        </is>
      </c>
      <c r="C18" s="13" t="inlineStr">
        <is>
          <t>m</t>
        </is>
      </c>
      <c r="D18" s="41">
        <f>D16*Invoer!D19</f>
        <v/>
      </c>
      <c r="E18" s="41">
        <f>E16*Invoer!E19</f>
        <v/>
      </c>
      <c r="F18" s="41">
        <f>F16*Invoer!F19</f>
        <v/>
      </c>
      <c r="G18" s="9" t="n"/>
      <c r="H18" s="13" t="inlineStr">
        <is>
          <t>400 m per berth als module</t>
        </is>
      </c>
    </row>
    <row r="19" ht="27" customHeight="1">
      <c r="A19" s="9" t="inlineStr">
        <is>
          <t>C14</t>
        </is>
      </c>
      <c r="B19" s="13" t="inlineStr">
        <is>
          <t>STS-kranen in operatie</t>
        </is>
      </c>
      <c r="C19" s="13" t="inlineStr">
        <is>
          <t>aantal</t>
        </is>
      </c>
      <c r="D19" s="41">
        <f>D16*Invoer!D15</f>
        <v/>
      </c>
      <c r="E19" s="41">
        <f>E16*Invoer!E15</f>
        <v/>
      </c>
      <c r="F19" s="41">
        <f>F16*Invoer!F15</f>
        <v/>
      </c>
      <c r="G19" s="9" t="n"/>
      <c r="H19" s="13" t="inlineStr">
        <is>
          <t>Gelijktijdig bij volledige bezetting; geen onderhoudsreserve</t>
        </is>
      </c>
    </row>
    <row r="20" ht="27" customHeight="1">
      <c r="A20" s="9" t="inlineStr">
        <is>
          <t>C15</t>
        </is>
      </c>
      <c r="B20" s="13" t="inlineStr">
        <is>
          <t>Gewogen verblijftijd</t>
        </is>
      </c>
      <c r="C20" s="13" t="inlineStr">
        <is>
          <t>dagen</t>
        </is>
      </c>
      <c r="D20" s="32">
        <f>Invoer!D21*Invoer!D24+Invoer!D22*Invoer!D25+Invoer!D23*Invoer!D26</f>
        <v/>
      </c>
      <c r="E20" s="32">
        <f>Invoer!E21*Invoer!E24+Invoer!E22*Invoer!E25+Invoer!E23*Invoer!E26</f>
        <v/>
      </c>
      <c r="F20" s="32">
        <f>Invoer!F21*Invoer!F24+Invoer!F22*Invoer!F25+Invoer!F23*Invoer!F26</f>
        <v/>
      </c>
      <c r="G20" s="9" t="n"/>
      <c r="H20" s="13" t="inlineStr">
        <is>
          <t>6,2 dagen volgens case</t>
        </is>
      </c>
    </row>
    <row r="21" ht="27" customHeight="1">
      <c r="A21" s="9" t="inlineStr">
        <is>
          <t>C16</t>
        </is>
      </c>
      <c r="B21" s="13" t="inlineStr">
        <is>
          <t>Piekvoorraad import</t>
        </is>
      </c>
      <c r="C21" s="13" t="inlineStr">
        <is>
          <t>TEU</t>
        </is>
      </c>
      <c r="D21" s="32">
        <f>Invoer!D6*Invoer!D21*Invoer!D24/Invoer!D10*Invoer!D27</f>
        <v/>
      </c>
      <c r="E21" s="32">
        <f>Invoer!E6*Invoer!E21*Invoer!E24/Invoer!E10*Invoer!E27</f>
        <v/>
      </c>
      <c r="F21" s="32">
        <f>Invoer!F6*Invoer!F21*Invoer!F24/Invoer!F10*Invoer!F27</f>
        <v/>
      </c>
      <c r="G21" s="9" t="n"/>
      <c r="H21" s="13" t="inlineStr">
        <is>
          <t>TEU-dagen; geen extra conversie naar box</t>
        </is>
      </c>
    </row>
    <row r="22" ht="27" customHeight="1">
      <c r="A22" s="9" t="inlineStr">
        <is>
          <t>C17</t>
        </is>
      </c>
      <c r="B22" s="13" t="inlineStr">
        <is>
          <t>Piekvoorraad volle export</t>
        </is>
      </c>
      <c r="C22" s="13" t="inlineStr">
        <is>
          <t>TEU</t>
        </is>
      </c>
      <c r="D22" s="32">
        <f>Invoer!D6*Invoer!D22*Invoer!D25/Invoer!D10*Invoer!D27</f>
        <v/>
      </c>
      <c r="E22" s="32">
        <f>Invoer!E6*Invoer!E22*Invoer!E25/Invoer!E10*Invoer!E27</f>
        <v/>
      </c>
      <c r="F22" s="32">
        <f>Invoer!F6*Invoer!F22*Invoer!F25/Invoer!F10*Invoer!F27</f>
        <v/>
      </c>
      <c r="G22" s="9" t="n"/>
      <c r="H22" s="13" t="n"/>
    </row>
    <row r="23" ht="27" customHeight="1">
      <c r="A23" s="9" t="inlineStr">
        <is>
          <t>C18</t>
        </is>
      </c>
      <c r="B23" s="13" t="inlineStr">
        <is>
          <t>Piekvoorraad lege export</t>
        </is>
      </c>
      <c r="C23" s="13" t="inlineStr">
        <is>
          <t>TEU</t>
        </is>
      </c>
      <c r="D23" s="32">
        <f>Invoer!D6*Invoer!D23*Invoer!D26/Invoer!D10*Invoer!D27</f>
        <v/>
      </c>
      <c r="E23" s="32">
        <f>Invoer!E6*Invoer!E23*Invoer!E26/Invoer!E10*Invoer!E27</f>
        <v/>
      </c>
      <c r="F23" s="32">
        <f>Invoer!F6*Invoer!F23*Invoer!F26/Invoer!F10*Invoer!F27</f>
        <v/>
      </c>
      <c r="G23" s="9" t="n"/>
      <c r="H23" s="13" t="n"/>
    </row>
    <row r="24" ht="27" customHeight="1">
      <c r="A24" s="9" t="inlineStr">
        <is>
          <t>C19</t>
        </is>
      </c>
      <c r="B24" s="13" t="inlineStr">
        <is>
          <t>Piekvoorraad totaal</t>
        </is>
      </c>
      <c r="C24" s="13" t="inlineStr">
        <is>
          <t>TEU</t>
        </is>
      </c>
      <c r="D24" s="41">
        <f>SUM(D21:D23)</f>
        <v/>
      </c>
      <c r="E24" s="41">
        <f>SUM(E21:E23)</f>
        <v/>
      </c>
      <c r="F24" s="41">
        <f>SUM(F21:F23)</f>
        <v/>
      </c>
      <c r="G24" s="9" t="n"/>
      <c r="H24" s="13" t="inlineStr">
        <is>
          <t>Som van drie stromen</t>
        </is>
      </c>
    </row>
    <row r="25" ht="27" customHeight="1">
      <c r="A25" s="9" t="inlineStr">
        <is>
          <t>C20</t>
        </is>
      </c>
      <c r="B25" s="13" t="inlineStr">
        <is>
          <t>Benodigde TEU-grondslots</t>
        </is>
      </c>
      <c r="C25" s="13" t="inlineStr">
        <is>
          <t>slots</t>
        </is>
      </c>
      <c r="D25" s="41">
        <f>D24/(Invoer!D28*Invoer!D29)</f>
        <v/>
      </c>
      <c r="E25" s="41">
        <f>E24/(Invoer!E28*Invoer!E29)</f>
        <v/>
      </c>
      <c r="F25" s="41">
        <f>F24/(Invoer!F28*Invoer!F29)</f>
        <v/>
      </c>
      <c r="G25" s="9" t="n"/>
      <c r="H25" s="13" t="inlineStr">
        <is>
          <t>3 hoog bij 70% slotbenutting</t>
        </is>
      </c>
    </row>
    <row r="26" ht="27" customHeight="1">
      <c r="A26" s="9" t="inlineStr">
        <is>
          <t>C21</t>
        </is>
      </c>
      <c r="B26" s="13" t="inlineStr">
        <is>
          <t>Netto opslagoppervlakte</t>
        </is>
      </c>
      <c r="C26" s="13" t="inlineStr">
        <is>
          <t>ha</t>
        </is>
      </c>
      <c r="D26" s="32">
        <f>D25*Invoer!D30/10000</f>
        <v/>
      </c>
      <c r="E26" s="32">
        <f>E25*Invoer!E30/10000</f>
        <v/>
      </c>
      <c r="F26" s="32">
        <f>F25*Invoer!F30/10000</f>
        <v/>
      </c>
      <c r="G26" s="9" t="n"/>
      <c r="H26" s="13" t="inlineStr">
        <is>
          <t>28 m2 per TEU-grondslot</t>
        </is>
      </c>
    </row>
    <row r="27" ht="27" customHeight="1">
      <c r="A27" s="9" t="inlineStr">
        <is>
          <t>C22</t>
        </is>
      </c>
      <c r="B27" s="13" t="inlineStr">
        <is>
          <t>Containerterminal totaal</t>
        </is>
      </c>
      <c r="C27" s="13" t="inlineStr">
        <is>
          <t>ha</t>
        </is>
      </c>
      <c r="D27" s="32">
        <f>D26*Invoer!D31</f>
        <v/>
      </c>
      <c r="E27" s="32">
        <f>E26*Invoer!E31</f>
        <v/>
      </c>
      <c r="F27" s="32">
        <f>F26*Invoer!F31</f>
        <v/>
      </c>
      <c r="G27" s="9" t="n"/>
      <c r="H27" s="13" t="inlineStr">
        <is>
          <t>Netto opslag x 1,2; equipmentindeling toetsen</t>
        </is>
      </c>
    </row>
    <row r="28" ht="27" customHeight="1">
      <c r="A28" s="9" t="inlineStr">
        <is>
          <t>C23</t>
        </is>
      </c>
      <c r="B28" s="13" t="inlineStr">
        <is>
          <t>Reservering containerterrein</t>
        </is>
      </c>
      <c r="C28" s="13" t="inlineStr">
        <is>
          <t>ha</t>
        </is>
      </c>
      <c r="D28" s="32">
        <f>Invoer!D20</f>
        <v/>
      </c>
      <c r="E28" s="32">
        <f>Invoer!E20</f>
        <v/>
      </c>
      <c r="F28" s="32">
        <f>Invoer!F20</f>
        <v/>
      </c>
      <c r="G28" s="9" t="n"/>
      <c r="H28" s="13" t="inlineStr">
        <is>
          <t>Doelwaarde voor eigen tekening</t>
        </is>
      </c>
    </row>
    <row r="29" ht="27" customHeight="1">
      <c r="A29" s="9" t="inlineStr">
        <is>
          <t>C24</t>
        </is>
      </c>
      <c r="B29" s="13" t="inlineStr">
        <is>
          <t>Marge terrein</t>
        </is>
      </c>
      <c r="C29" s="13" t="inlineStr">
        <is>
          <t>ha</t>
        </is>
      </c>
      <c r="D29" s="32">
        <f>D28-D27</f>
        <v/>
      </c>
      <c r="E29" s="32">
        <f>E28-E27</f>
        <v/>
      </c>
      <c r="F29" s="32">
        <f>F28-F27</f>
        <v/>
      </c>
      <c r="G29" s="9" t="n"/>
      <c r="H29" s="13" t="inlineStr">
        <is>
          <t>Positief = reservering groter dan berekend</t>
        </is>
      </c>
    </row>
    <row r="30" ht="27" customHeight="1">
      <c r="A30" s="9" t="inlineStr">
        <is>
          <t>C25</t>
        </is>
      </c>
      <c r="B30" s="13" t="inlineStr">
        <is>
          <t>Capaciteitstoets kades</t>
        </is>
      </c>
      <c r="C30" s="13" t="inlineStr">
        <is>
          <t>-</t>
        </is>
      </c>
      <c r="D30" s="32">
        <f>IF(D15&lt;=D16,"VOLDOET REKENKUNDIG","MEER CAPACITEIT NODIG")</f>
        <v/>
      </c>
      <c r="E30" s="32">
        <f>IF(E15&lt;=E16,"VOLDOET REKENKUNDIG","MEER CAPACITEIT NODIG")</f>
        <v/>
      </c>
      <c r="F30" s="32">
        <f>IF(F15&lt;=F16,"VOLDOET REKENKUNDIG","MEER CAPACITEIT NODIG")</f>
        <v/>
      </c>
      <c r="G30" s="9" t="n"/>
      <c r="H30" s="13" t="inlineStr">
        <is>
          <t>Geen garantie voor korte wachttijden</t>
        </is>
      </c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</row>
  </sheetData>
  <conditionalFormatting sqref="D29:F29">
    <cfRule type="cellIs" priority="1" operator="lessThan" dxfId="0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8" customWidth="1" min="1" max="1"/>
    <col width="39" customWidth="1" min="2" max="2"/>
    <col width="18" customWidth="1" min="3" max="3"/>
    <col width="17" customWidth="1" min="4" max="4"/>
    <col width="17" customWidth="1" min="5" max="5"/>
    <col width="17" customWidth="1" min="6" max="6"/>
    <col width="24" customWidth="1" min="7" max="7"/>
    <col width="68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Overige terminals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27" customHeight="1">
      <c r="A5" s="8" t="inlineStr">
        <is>
          <t>Ref</t>
        </is>
      </c>
      <c r="B5" s="8" t="inlineStr">
        <is>
          <t>Berekening</t>
        </is>
      </c>
      <c r="C5" s="8" t="inlineStr">
        <is>
          <t>Eenheid</t>
        </is>
      </c>
      <c r="D5" s="8" t="inlineStr">
        <is>
          <t>2025</t>
        </is>
      </c>
      <c r="E5" s="8" t="inlineStr">
        <is>
          <t>2035</t>
        </is>
      </c>
      <c r="F5" s="8" t="inlineStr">
        <is>
          <t>2045</t>
        </is>
      </c>
      <c r="G5" s="8" t="inlineStr">
        <is>
          <t>Status</t>
        </is>
      </c>
      <c r="H5" s="8" t="inlineStr">
        <is>
          <t>Toelichting</t>
        </is>
      </c>
    </row>
    <row r="6" ht="27" customHeight="1">
      <c r="A6" s="9" t="inlineStr">
        <is>
          <t>T01</t>
        </is>
      </c>
      <c r="B6" s="13" t="inlineStr">
        <is>
          <t>Graancalls afgerond</t>
        </is>
      </c>
      <c r="C6" s="13" t="inlineStr">
        <is>
          <t>calls/jaar</t>
        </is>
      </c>
      <c r="D6" s="32">
        <f>ROUNDUP(Invoer!D7/Invoer!D32,0)</f>
        <v/>
      </c>
      <c r="E6" s="32">
        <f>ROUNDUP(Invoer!E7/Invoer!E32,0)</f>
        <v/>
      </c>
      <c r="F6" s="32">
        <f>ROUNDUP(Invoer!F7/Invoer!F32,0)</f>
        <v/>
      </c>
      <c r="G6" s="9" t="n"/>
      <c r="H6" s="13" t="inlineStr">
        <is>
          <t>65000 ton per call als conceptparcel</t>
        </is>
      </c>
    </row>
    <row r="7" ht="27" customHeight="1">
      <c r="A7" s="9" t="inlineStr">
        <is>
          <t>T02</t>
        </is>
      </c>
      <c r="B7" s="13" t="inlineStr">
        <is>
          <t>Graan ligplaatstijd</t>
        </is>
      </c>
      <c r="C7" s="13" t="inlineStr">
        <is>
          <t>uur/call</t>
        </is>
      </c>
      <c r="D7" s="32">
        <f>Invoer!D32/Invoer!D33+Invoer!D34</f>
        <v/>
      </c>
      <c r="E7" s="32">
        <f>Invoer!E32/Invoer!E33+Invoer!E34</f>
        <v/>
      </c>
      <c r="F7" s="32">
        <f>Invoer!F32/Invoer!F33+Invoer!F34</f>
        <v/>
      </c>
      <c r="G7" s="9" t="n"/>
      <c r="H7" s="13" t="inlineStr">
        <is>
          <t>Bij constante netto beladerproductiviteit</t>
        </is>
      </c>
    </row>
    <row r="8" ht="27" customHeight="1">
      <c r="A8" s="9" t="inlineStr">
        <is>
          <t>T03</t>
        </is>
      </c>
      <c r="B8" s="13" t="inlineStr">
        <is>
          <t>Bezetting één graanligplaats</t>
        </is>
      </c>
      <c r="C8" s="13" t="inlineStr">
        <is>
          <t>deel</t>
        </is>
      </c>
      <c r="D8" s="33">
        <f>D6*D7/(Invoer!D10*24*Invoer!D11)</f>
        <v/>
      </c>
      <c r="E8" s="33">
        <f>E6*E7/(Invoer!E10*24*Invoer!E11)</f>
        <v/>
      </c>
      <c r="F8" s="33">
        <f>F6*F7/(Invoer!F10*24*Invoer!F11)</f>
        <v/>
      </c>
      <c r="G8" s="9" t="n"/>
      <c r="H8" s="13" t="inlineStr">
        <is>
          <t>Piekcampagnes apart toetsen</t>
        </is>
      </c>
    </row>
    <row r="9" ht="27" customHeight="1">
      <c r="A9" s="9" t="inlineStr">
        <is>
          <t>T04</t>
        </is>
      </c>
      <c r="B9" s="13" t="inlineStr">
        <is>
          <t>Graan piekvoorraad</t>
        </is>
      </c>
      <c r="C9" s="13" t="inlineStr">
        <is>
          <t>ton</t>
        </is>
      </c>
      <c r="D9" s="32">
        <f>Invoer!D7*Invoer!D35/Invoer!D10*Invoer!D27</f>
        <v/>
      </c>
      <c r="E9" s="32">
        <f>Invoer!E7*Invoer!E35/Invoer!E10*Invoer!E27</f>
        <v/>
      </c>
      <c r="F9" s="32">
        <f>Invoer!F7*Invoer!F35/Invoer!F10*Invoer!F27</f>
        <v/>
      </c>
      <c r="G9" s="9" t="n"/>
      <c r="H9" s="13" t="inlineStr">
        <is>
          <t>30 dagen met piekfactor 1,25</t>
        </is>
      </c>
    </row>
    <row r="10" ht="27" customHeight="1">
      <c r="A10" s="9" t="inlineStr">
        <is>
          <t>T05</t>
        </is>
      </c>
      <c r="B10" s="13" t="inlineStr">
        <is>
          <t>Graan opslagruimte</t>
        </is>
      </c>
      <c r="C10" s="13" t="inlineStr">
        <is>
          <t>ha</t>
        </is>
      </c>
      <c r="D10" s="32">
        <f>D9/Invoer!D36/Invoer!D37*Invoer!D38/10000</f>
        <v/>
      </c>
      <c r="E10" s="32">
        <f>E9/Invoer!E36/Invoer!E37*Invoer!E38/10000</f>
        <v/>
      </c>
      <c r="F10" s="32">
        <f>F9/Invoer!F36/Invoer!F37*Invoer!F38/10000</f>
        <v/>
      </c>
      <c r="G10" s="9" t="n"/>
      <c r="H10" s="13" t="inlineStr">
        <is>
          <t>Effectieve hoogte en dichtheid zijn aannamen</t>
        </is>
      </c>
    </row>
    <row r="11" ht="27" customHeight="1">
      <c r="A11" s="9" t="inlineStr">
        <is>
          <t>T06</t>
        </is>
      </c>
      <c r="B11" s="13" t="inlineStr">
        <is>
          <t>Graanterrein reservering</t>
        </is>
      </c>
      <c r="C11" s="13" t="inlineStr">
        <is>
          <t>ha</t>
        </is>
      </c>
      <c r="D11" s="32">
        <f>Invoer!D39</f>
        <v/>
      </c>
      <c r="E11" s="32">
        <f>Invoer!E39</f>
        <v/>
      </c>
      <c r="F11" s="32">
        <f>Invoer!F39</f>
        <v/>
      </c>
      <c r="G11" s="9" t="n"/>
      <c r="H11" s="13" t="inlineStr">
        <is>
          <t>Inclusief groei en logistieke functies</t>
        </is>
      </c>
    </row>
    <row r="12" ht="27" customHeight="1">
      <c r="A12" s="9" t="inlineStr">
        <is>
          <t>T07</t>
        </is>
      </c>
      <c r="B12" s="13" t="inlineStr">
        <is>
          <t>RoRo calls afgerond</t>
        </is>
      </c>
      <c r="C12" s="13" t="inlineStr">
        <is>
          <t>calls/jaar</t>
        </is>
      </c>
      <c r="D12" s="32">
        <f>ROUNDUP(Invoer!D8/Invoer!D40,0)</f>
        <v/>
      </c>
      <c r="E12" s="32">
        <f>ROUNDUP(Invoer!E8/Invoer!E40,0)</f>
        <v/>
      </c>
      <c r="F12" s="32">
        <f>ROUNDUP(Invoer!F8/Invoer!F40,0)</f>
        <v/>
      </c>
      <c r="G12" s="9" t="n"/>
      <c r="H12" s="13" t="inlineStr">
        <is>
          <t>6500 auto/call; lagere parcel geeft meer calls</t>
        </is>
      </c>
    </row>
    <row r="13" ht="27" customHeight="1">
      <c r="A13" s="9" t="inlineStr">
        <is>
          <t>T08</t>
        </is>
      </c>
      <c r="B13" s="13" t="inlineStr">
        <is>
          <t>RoRo ligplaatstijd</t>
        </is>
      </c>
      <c r="C13" s="13" t="inlineStr">
        <is>
          <t>uur/call</t>
        </is>
      </c>
      <c r="D13" s="32">
        <f>Invoer!D40/Invoer!D41+Invoer!D42</f>
        <v/>
      </c>
      <c r="E13" s="32">
        <f>Invoer!E40/Invoer!E41+Invoer!E42</f>
        <v/>
      </c>
      <c r="F13" s="32">
        <f>Invoer!F40/Invoer!F41+Invoer!F42</f>
        <v/>
      </c>
      <c r="G13" s="9" t="n"/>
      <c r="H13" s="13" t="inlineStr">
        <is>
          <t>Netto150 auto/uur als hypothese</t>
        </is>
      </c>
    </row>
    <row r="14" ht="27" customHeight="1">
      <c r="A14" s="9" t="inlineStr">
        <is>
          <t>T09</t>
        </is>
      </c>
      <c r="B14" s="13" t="inlineStr">
        <is>
          <t>Bezetting één RoRo-ligplaats</t>
        </is>
      </c>
      <c r="C14" s="13" t="inlineStr">
        <is>
          <t>deel</t>
        </is>
      </c>
      <c r="D14" s="33">
        <f>D12*D13/(Invoer!D10*24*Invoer!D11)</f>
        <v/>
      </c>
      <c r="E14" s="33">
        <f>E12*E13/(Invoer!E10*24*Invoer!E11)</f>
        <v/>
      </c>
      <c r="F14" s="33">
        <f>F12*F13/(Invoer!F10*24*Invoer!F11)</f>
        <v/>
      </c>
      <c r="G14" s="9" t="n"/>
      <c r="H14" s="13" t="inlineStr">
        <is>
          <t>Rampconflicten nog toetsen</t>
        </is>
      </c>
    </row>
    <row r="15" ht="27" customHeight="1">
      <c r="A15" s="9" t="inlineStr">
        <is>
          <t>T10</t>
        </is>
      </c>
      <c r="B15" s="13" t="inlineStr">
        <is>
          <t>RoRo piekvoorraad</t>
        </is>
      </c>
      <c r="C15" s="13" t="inlineStr">
        <is>
          <t>auto</t>
        </is>
      </c>
      <c r="D15" s="32">
        <f>Invoer!D8*Invoer!D43/Invoer!D10*Invoer!D44</f>
        <v/>
      </c>
      <c r="E15" s="32">
        <f>Invoer!E8*Invoer!E43/Invoer!E10*Invoer!E44</f>
        <v/>
      </c>
      <c r="F15" s="32">
        <f>Invoer!F8*Invoer!F43/Invoer!F10*Invoer!F44</f>
        <v/>
      </c>
      <c r="G15" s="9" t="n"/>
      <c r="H15" s="13" t="n"/>
    </row>
    <row r="16" ht="27" customHeight="1">
      <c r="A16" s="9" t="inlineStr">
        <is>
          <t>T11</t>
        </is>
      </c>
      <c r="B16" s="13" t="inlineStr">
        <is>
          <t>RoRo oppervlakte totaal</t>
        </is>
      </c>
      <c r="C16" s="13" t="inlineStr">
        <is>
          <t>ha</t>
        </is>
      </c>
      <c r="D16" s="32">
        <f>D15*Invoer!D45*Invoer!D31/10000</f>
        <v/>
      </c>
      <c r="E16" s="32">
        <f>E15*Invoer!E45*Invoer!E31/10000</f>
        <v/>
      </c>
      <c r="F16" s="32">
        <f>F15*Invoer!F45*Invoer!F31/10000</f>
        <v/>
      </c>
      <c r="G16" s="9" t="n"/>
      <c r="H16" s="13" t="inlineStr">
        <is>
          <t>30m2 inclusief rijruimte, 20% extra support</t>
        </is>
      </c>
    </row>
    <row r="17" ht="27" customHeight="1">
      <c r="A17" s="9" t="inlineStr">
        <is>
          <t>T12</t>
        </is>
      </c>
      <c r="B17" s="13" t="inlineStr">
        <is>
          <t>RoRo terrein reservering</t>
        </is>
      </c>
      <c r="C17" s="13" t="inlineStr">
        <is>
          <t>ha</t>
        </is>
      </c>
      <c r="D17" s="32">
        <f>Invoer!D46</f>
        <v/>
      </c>
      <c r="E17" s="32">
        <f>Invoer!E46</f>
        <v/>
      </c>
      <c r="F17" s="32">
        <f>Invoer!F46</f>
        <v/>
      </c>
      <c r="G17" s="9" t="n"/>
      <c r="H17" s="13" t="inlineStr">
        <is>
          <t>Aanpassen als eigen tekening andere oppervlakte heeft</t>
        </is>
      </c>
    </row>
    <row r="18" ht="27" customHeight="1">
      <c r="A18" s="9" t="inlineStr">
        <is>
          <t>T13</t>
        </is>
      </c>
      <c r="B18" s="13" t="inlineStr">
        <is>
          <t>LNG effectieve scheepslading</t>
        </is>
      </c>
      <c r="C18" s="13" t="inlineStr">
        <is>
          <t>m3/call</t>
        </is>
      </c>
      <c r="D18" s="32">
        <f>Invoer!D47*Invoer!D48</f>
        <v/>
      </c>
      <c r="E18" s="32">
        <f>Invoer!E47*Invoer!E48</f>
        <v/>
      </c>
      <c r="F18" s="32">
        <f>Invoer!F47*Invoer!F48</f>
        <v/>
      </c>
      <c r="G18" s="9" t="n"/>
      <c r="H18" s="13" t="inlineStr">
        <is>
          <t>Reguliere vloot; geen MOZAH</t>
        </is>
      </c>
    </row>
    <row r="19" ht="27" customHeight="1">
      <c r="A19" s="9" t="inlineStr">
        <is>
          <t>T14</t>
        </is>
      </c>
      <c r="B19" s="13" t="inlineStr">
        <is>
          <t>LNG calls afgerond</t>
        </is>
      </c>
      <c r="C19" s="13" t="inlineStr">
        <is>
          <t>calls/jaar</t>
        </is>
      </c>
      <c r="D19" s="32">
        <f>ROUNDUP(Invoer!D9/D18,0)</f>
        <v/>
      </c>
      <c r="E19" s="32">
        <f>ROUNDUP(Invoer!E9/E18,0)</f>
        <v/>
      </c>
      <c r="F19" s="32">
        <f>ROUNDUP(Invoer!F9/F18,0)</f>
        <v/>
      </c>
      <c r="G19" s="9" t="n"/>
      <c r="H19" s="13" t="inlineStr">
        <is>
          <t>Afgeronde calls voor berthbezetting</t>
        </is>
      </c>
    </row>
    <row r="20" ht="27" customHeight="1">
      <c r="A20" s="9" t="inlineStr">
        <is>
          <t>T15</t>
        </is>
      </c>
      <c r="B20" s="13" t="inlineStr">
        <is>
          <t>LNG ligplaatstijd</t>
        </is>
      </c>
      <c r="C20" s="13" t="inlineStr">
        <is>
          <t>uur/call</t>
        </is>
      </c>
      <c r="D20" s="32">
        <f>D18/Invoer!D49+Invoer!D50</f>
        <v/>
      </c>
      <c r="E20" s="32">
        <f>E18/Invoer!E49+Invoer!E50</f>
        <v/>
      </c>
      <c r="F20" s="32">
        <f>F18/Invoer!F49+Invoer!F50</f>
        <v/>
      </c>
      <c r="G20" s="9" t="n"/>
      <c r="H20" s="13" t="inlineStr">
        <is>
          <t>10000m3/uur + 8 uur overige tijd</t>
        </is>
      </c>
    </row>
    <row r="21" ht="27" customHeight="1">
      <c r="A21" s="9" t="inlineStr">
        <is>
          <t>T16</t>
        </is>
      </c>
      <c r="B21" s="13" t="inlineStr">
        <is>
          <t>Bezetting één LNG-steiger</t>
        </is>
      </c>
      <c r="C21" s="13" t="inlineStr">
        <is>
          <t>deel</t>
        </is>
      </c>
      <c r="D21" s="33">
        <f>D19*D20/(Invoer!D10*24*Invoer!D11)</f>
        <v/>
      </c>
      <c r="E21" s="33">
        <f>E19*E20/(Invoer!E10*24*Invoer!E11)</f>
        <v/>
      </c>
      <c r="F21" s="33">
        <f>F19*F20/(Invoer!F10*24*Invoer!F11)</f>
        <v/>
      </c>
      <c r="G21" s="9" t="n"/>
      <c r="H21" s="13" t="inlineStr">
        <is>
          <t>Geen LNG-operability of QRA-bewijs</t>
        </is>
      </c>
    </row>
    <row r="22" ht="27" customHeight="1">
      <c r="A22" s="9" t="inlineStr">
        <is>
          <t>T17</t>
        </is>
      </c>
      <c r="B22" s="13" t="inlineStr">
        <is>
          <t>Nominale LNG-opslag</t>
        </is>
      </c>
      <c r="C22" s="13" t="inlineStr">
        <is>
          <t>m3</t>
        </is>
      </c>
      <c r="D22" s="32">
        <f>Invoer!D51*Invoer!D52</f>
        <v/>
      </c>
      <c r="E22" s="32">
        <f>Invoer!E51*Invoer!E52</f>
        <v/>
      </c>
      <c r="F22" s="32">
        <f>Invoer!F51*Invoer!F52</f>
        <v/>
      </c>
      <c r="G22" s="9" t="n"/>
      <c r="H22" s="13" t="inlineStr">
        <is>
          <t>Alle drie tanks vanaf fase1 als voorstel</t>
        </is>
      </c>
    </row>
    <row r="23" ht="27" customHeight="1">
      <c r="A23" s="9" t="inlineStr">
        <is>
          <t>T18</t>
        </is>
      </c>
      <c r="B23" s="13" t="inlineStr">
        <is>
          <t>Operationele opslagband</t>
        </is>
      </c>
      <c r="C23" s="13" t="inlineStr">
        <is>
          <t>m3</t>
        </is>
      </c>
      <c r="D23" s="32">
        <f>D22*(Invoer!D54-Invoer!D53)</f>
        <v/>
      </c>
      <c r="E23" s="32">
        <f>E22*(Invoer!E54-Invoer!E53)</f>
        <v/>
      </c>
      <c r="F23" s="32">
        <f>F22*(Invoer!F54-Invoer!F53)</f>
        <v/>
      </c>
      <c r="G23" s="9" t="n"/>
      <c r="H23" s="13" t="inlineStr">
        <is>
          <t>Tussen 10% en90% vulling, totaal80% nominaal</t>
        </is>
      </c>
    </row>
    <row r="24" ht="27" customHeight="1">
      <c r="A24" s="9" t="inlineStr">
        <is>
          <t>T19</t>
        </is>
      </c>
      <c r="B24" s="13" t="inlineStr">
        <is>
          <t>Buffer plus ontvangstruimte</t>
        </is>
      </c>
      <c r="C24" s="13" t="inlineStr">
        <is>
          <t>m3</t>
        </is>
      </c>
      <c r="D24" s="32">
        <f>Invoer!D9/Invoer!D10*Invoer!D55+D18</f>
        <v/>
      </c>
      <c r="E24" s="32">
        <f>Invoer!E9/Invoer!E10*Invoer!E55+E18</f>
        <v/>
      </c>
      <c r="F24" s="32">
        <f>Invoer!F9/Invoer!F10*Invoer!F55+F18</f>
        <v/>
      </c>
      <c r="G24" s="9" t="n"/>
      <c r="H24" s="13" t="inlineStr">
        <is>
          <t>7 dagen gemiddelde vraag + volledige scheepsparcel</t>
        </is>
      </c>
    </row>
    <row r="25" ht="27" customHeight="1">
      <c r="A25" s="9" t="inlineStr">
        <is>
          <t>T20</t>
        </is>
      </c>
      <c r="B25" s="13" t="inlineStr">
        <is>
          <t>Opslagmarge</t>
        </is>
      </c>
      <c r="C25" s="13" t="inlineStr">
        <is>
          <t>m3</t>
        </is>
      </c>
      <c r="D25" s="32">
        <f>D23-D24</f>
        <v/>
      </c>
      <c r="E25" s="32">
        <f>E23-E24</f>
        <v/>
      </c>
      <c r="F25" s="32">
        <f>F23-F24</f>
        <v/>
      </c>
      <c r="G25" s="9" t="n"/>
      <c r="H25" s="13" t="inlineStr">
        <is>
          <t>Positief vereist onder gekozen voorraadbeleid</t>
        </is>
      </c>
    </row>
    <row r="26" ht="27" customHeight="1">
      <c r="A26" s="9" t="inlineStr">
        <is>
          <t>T21</t>
        </is>
      </c>
      <c r="B26" s="13" t="inlineStr">
        <is>
          <t>Opslagband bij één tank uit</t>
        </is>
      </c>
      <c r="C26" s="13" t="inlineStr">
        <is>
          <t>m3</t>
        </is>
      </c>
      <c r="D26" s="32">
        <f>MAX(0,Invoer!D51-1)*Invoer!D52*(Invoer!D54-Invoer!D53)</f>
        <v/>
      </c>
      <c r="E26" s="32">
        <f>MAX(0,Invoer!E51-1)*Invoer!E52*(Invoer!E54-Invoer!E53)</f>
        <v/>
      </c>
      <c r="F26" s="32">
        <f>MAX(0,Invoer!F51-1)*Invoer!F52*(Invoer!F54-Invoer!F53)</f>
        <v/>
      </c>
      <c r="G26" s="9" t="n"/>
      <c r="H26" s="13" t="inlineStr">
        <is>
          <t>N-1 toets; operationele eis nog te kiezen</t>
        </is>
      </c>
    </row>
    <row r="27" ht="27" customHeight="1">
      <c r="A27" s="9" t="inlineStr">
        <is>
          <t>T22</t>
        </is>
      </c>
      <c r="B27" s="13" t="inlineStr">
        <is>
          <t>Marge bij één tank uit</t>
        </is>
      </c>
      <c r="C27" s="13" t="inlineStr">
        <is>
          <t>m3</t>
        </is>
      </c>
      <c r="D27" s="32">
        <f>D26-D24</f>
        <v/>
      </c>
      <c r="E27" s="32">
        <f>E26-E24</f>
        <v/>
      </c>
      <c r="F27" s="32">
        <f>F26-F24</f>
        <v/>
      </c>
      <c r="G27" s="9" t="n"/>
      <c r="H27" s="13" t="inlineStr">
        <is>
          <t>Negatief vraagt lager bufferbeleid of extra tank</t>
        </is>
      </c>
    </row>
    <row r="28" ht="27" customHeight="1">
      <c r="A28" s="9" t="inlineStr">
        <is>
          <t>T23</t>
        </is>
      </c>
      <c r="B28" s="13" t="inlineStr">
        <is>
          <t>Gas naar regionaal systeem</t>
        </is>
      </c>
      <c r="C28" s="13" t="inlineStr">
        <is>
          <t>Nm3/jaar</t>
        </is>
      </c>
      <c r="D28" s="32">
        <f>Invoer!D9*Invoer!D56</f>
        <v/>
      </c>
      <c r="E28" s="32">
        <f>Invoer!E9*Invoer!E56</f>
        <v/>
      </c>
      <c r="F28" s="32">
        <f>Invoer!F9*Invoer!F56</f>
        <v/>
      </c>
      <c r="G28" s="9" t="n"/>
      <c r="H28" s="13" t="inlineStr">
        <is>
          <t>Inclusief gas richting centrale; geen extra gasproductie</t>
        </is>
      </c>
    </row>
    <row r="29" ht="27" customHeight="1">
      <c r="A29" s="9" t="inlineStr">
        <is>
          <t>T24</t>
        </is>
      </c>
      <c r="B29" s="13" t="inlineStr">
        <is>
          <t>Elektriciteitsproductie voorbeeld</t>
        </is>
      </c>
      <c r="C29" s="13" t="inlineStr">
        <is>
          <t>MWh/jaar</t>
        </is>
      </c>
      <c r="D29" s="32">
        <f>Invoer!D9*Invoer!D57*Invoer!D58*Invoer!D59</f>
        <v/>
      </c>
      <c r="E29" s="32">
        <f>Invoer!E9*Invoer!E57*Invoer!E58*Invoer!E59</f>
        <v/>
      </c>
      <c r="F29" s="32">
        <f>Invoer!F9*Invoer!F57*Invoer!F58*Invoer!F59</f>
        <v/>
      </c>
      <c r="G29" s="9" t="n"/>
      <c r="H29" s="13" t="inlineStr">
        <is>
          <t>50% LNG naar centrale, rendement60% als rekenvoorbeeld</t>
        </is>
      </c>
    </row>
    <row r="30" ht="27" customHeight="1">
      <c r="A30" s="9" t="inlineStr">
        <is>
          <t>T25</t>
        </is>
      </c>
      <c r="B30" s="13" t="inlineStr">
        <is>
          <t>Centrale eindcapaciteit voorbeeld</t>
        </is>
      </c>
      <c r="C30" s="13" t="inlineStr">
        <is>
          <t>MW</t>
        </is>
      </c>
      <c r="D30" s="32">
        <f>Invoer!F9*Invoer!F57*Invoer!F58*Invoer!F59/(Invoer!F10*24*Invoer!F60)</f>
        <v/>
      </c>
      <c r="E30" s="32">
        <f>Invoer!F9*Invoer!F57*Invoer!F58*Invoer!F59/(Invoer!F10*24*Invoer!F60)</f>
        <v/>
      </c>
      <c r="F30" s="32">
        <f>Invoer!F9*Invoer!F57*Invoer!F58*Invoer!F59/(Invoer!F10*24*Invoer!F60)</f>
        <v/>
      </c>
      <c r="G30" s="9" t="n"/>
      <c r="H30" s="13" t="inlineStr">
        <is>
          <t>Alle fasen: vermogen bij einddoorzet. Niet vastgesteld.</t>
        </is>
      </c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</row>
    <row r="33">
      <c r="A33" s="20" t="inlineStr">
        <is>
          <t>Verkeer voor hoofdgeul en verkeersplanning</t>
        </is>
      </c>
      <c r="B33" s="20" t="n"/>
      <c r="C33" s="20" t="n"/>
      <c r="D33" s="20" t="n"/>
      <c r="E33" s="20" t="n"/>
      <c r="F33" s="20" t="n"/>
      <c r="G33" s="20" t="n"/>
      <c r="H33" s="20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</row>
    <row r="35">
      <c r="A35" s="1" t="n"/>
      <c r="B35" s="21" t="inlineStr">
        <is>
          <t>Aanlopen alle ladingstromen</t>
        </is>
      </c>
      <c r="C35" s="21" t="inlineStr">
        <is>
          <t>calls/jaar</t>
        </is>
      </c>
      <c r="D35" s="42">
        <f>Containers!D9+D6+D12+D19</f>
        <v/>
      </c>
      <c r="E35" s="42">
        <f>Containers!E9+E6+E12+E19</f>
        <v/>
      </c>
      <c r="F35" s="42">
        <f>Containers!F9+F6+F12+F19</f>
        <v/>
      </c>
      <c r="G35" s="1" t="n"/>
      <c r="H35" s="1" t="n"/>
    </row>
    <row r="36">
      <c r="A36" s="1" t="n"/>
      <c r="B36" s="21" t="inlineStr">
        <is>
          <t>Aankomst plus vertrek</t>
        </is>
      </c>
      <c r="C36" s="21" t="inlineStr">
        <is>
          <t>bewegingen/jaar</t>
        </is>
      </c>
      <c r="D36" s="42">
        <f>2*D35</f>
        <v/>
      </c>
      <c r="E36" s="42">
        <f>2*E35</f>
        <v/>
      </c>
      <c r="F36" s="42">
        <f>2*F35</f>
        <v/>
      </c>
      <c r="G36" s="1" t="n"/>
      <c r="H36" s="1" t="n"/>
    </row>
    <row r="37">
      <c r="A37" s="1" t="n"/>
      <c r="B37" s="21" t="inlineStr">
        <is>
          <t>Gemiddelde geulbewegingen</t>
        </is>
      </c>
      <c r="C37" s="21" t="inlineStr">
        <is>
          <t>per dag</t>
        </is>
      </c>
      <c r="D37" s="42">
        <f>D36/Invoer!D10</f>
        <v/>
      </c>
      <c r="E37" s="42">
        <f>E36/Invoer!E10</f>
        <v/>
      </c>
      <c r="F37" s="42">
        <f>F36/Invoer!F10</f>
        <v/>
      </c>
      <c r="G37" s="1" t="n"/>
      <c r="H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</row>
  </sheetData>
  <conditionalFormatting sqref="D27:F27">
    <cfRule type="cellIs" priority="1" operator="lessThan" dxfId="0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8" customWidth="1" min="1" max="1"/>
    <col width="39" customWidth="1" min="2" max="2"/>
    <col width="18" customWidth="1" min="3" max="3"/>
    <col width="17" customWidth="1" min="4" max="4"/>
    <col width="17" customWidth="1" min="5" max="5"/>
    <col width="17" customWidth="1" min="6" max="6"/>
    <col width="24" customWidth="1" min="7" max="7"/>
    <col width="68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Grondwerk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27" customHeight="1">
      <c r="A5" s="8" t="inlineStr">
        <is>
          <t>Zone</t>
        </is>
      </c>
      <c r="B5" s="8" t="inlineStr">
        <is>
          <t>Baggervak</t>
        </is>
      </c>
      <c r="C5" s="8" t="inlineStr">
        <is>
          <t>Oppervlakte m2</t>
        </is>
      </c>
      <c r="D5" s="8" t="inlineStr">
        <is>
          <t>Bestaande diepte m</t>
        </is>
      </c>
      <c r="E5" s="8" t="inlineStr">
        <is>
          <t>Ontwerpdiepte m</t>
        </is>
      </c>
      <c r="F5" s="8" t="inlineStr">
        <is>
          <t>Volume m3</t>
        </is>
      </c>
      <c r="G5" s="8" t="inlineStr">
        <is>
          <t>Status</t>
        </is>
      </c>
      <c r="H5" s="8" t="inlineStr">
        <is>
          <t>Invoerbron</t>
        </is>
      </c>
    </row>
    <row r="6" ht="27" customHeight="1">
      <c r="A6" s="9" t="n">
        <v>1</v>
      </c>
      <c r="B6" s="13" t="inlineStr">
        <is>
          <t>Havenbekken</t>
        </is>
      </c>
      <c r="C6" s="43" t="n">
        <v>2606110</v>
      </c>
      <c r="D6" s="35" t="n"/>
      <c r="E6" s="32">
        <f>Nautiek!D25</f>
        <v/>
      </c>
      <c r="F6" s="32">
        <f>IF(COUNT(C6:E6)=3,C6*MAX(0,E6-D6),"")</f>
        <v/>
      </c>
      <c r="G6" s="13">
        <f>IF(COUNT(C6:D6)&lt;2,"INVOER ONTBREEKT","GEMIDDELDE-SCHATTING")</f>
        <v/>
      </c>
      <c r="H6" s="13" t="inlineStr">
        <is>
          <t>DO: binnenbekken F1-F3 + voorhaven + LNG-insteek (gesloten vlakken, Maatstaat). Bestaande diepte nog invullen.</t>
        </is>
      </c>
    </row>
    <row r="7" ht="27" customHeight="1">
      <c r="A7" s="9" t="n">
        <v>2</v>
      </c>
      <c r="B7" s="13" t="inlineStr">
        <is>
          <t>Geul tot DHN -15m</t>
        </is>
      </c>
      <c r="C7" s="10" t="n"/>
      <c r="D7" s="35" t="n"/>
      <c r="E7" s="32">
        <f>Nautiek!D25</f>
        <v/>
      </c>
      <c r="F7" s="32">
        <f>IF(COUNT(C7:E7)=3,C7*MAX(0,E7-D7),"")</f>
        <v/>
      </c>
      <c r="G7" s="13">
        <f>IF(COUNT(C7:D7)&lt;2,"INVOER ONTBREEKT","GEMIDDELDE-SCHATTING")</f>
        <v/>
      </c>
      <c r="H7" s="13" t="inlineStr">
        <is>
          <t>DO: geul buiten de mond totaal 3.960.000 m2 (220 x 18.000 m); splitsen op DHN -15 m-contour.</t>
        </is>
      </c>
    </row>
    <row r="8" ht="27" customHeight="1">
      <c r="A8" s="9" t="n">
        <v>3</v>
      </c>
      <c r="B8" s="13" t="inlineStr">
        <is>
          <t>Geul voorbij DHN -15m</t>
        </is>
      </c>
      <c r="C8" s="10" t="n"/>
      <c r="D8" s="35" t="n"/>
      <c r="E8" s="32">
        <f>Nautiek!D25</f>
        <v/>
      </c>
      <c r="F8" s="32">
        <f>IF(COUNT(C8:E8)=3,C8*MAX(0,E8-D8),"")</f>
        <v/>
      </c>
      <c r="G8" s="13">
        <f>IF(COUNT(C8:D8)&lt;2,"INVOER ONTBREEKT","GEMIDDELDE-SCHATTING")</f>
        <v/>
      </c>
      <c r="H8" s="13" t="inlineStr">
        <is>
          <t>Zie H7; oppervlak pas invullen na splitsing op de dieptelijn.</t>
        </is>
      </c>
    </row>
    <row r="9" ht="27" customHeight="1">
      <c r="A9" s="9" t="n"/>
      <c r="B9" s="13" t="n"/>
      <c r="C9" s="9" t="n"/>
      <c r="D9" s="32" t="n"/>
      <c r="E9" s="32" t="n"/>
      <c r="F9" s="32" t="n"/>
      <c r="G9" s="13" t="n"/>
      <c r="H9" s="13" t="n"/>
    </row>
    <row r="10" ht="27" customHeight="1">
      <c r="A10" s="9" t="n"/>
      <c r="B10" s="13" t="inlineStr">
        <is>
          <t>Totaal uit gemiddelde diepten</t>
        </is>
      </c>
      <c r="C10" s="9" t="n"/>
      <c r="D10" s="32" t="n"/>
      <c r="E10" s="32" t="n"/>
      <c r="F10" s="32">
        <f>IF(COUNT(F6:F8)=3,SUM(F6:F8),"")</f>
        <v/>
      </c>
      <c r="G10" s="13">
        <f>IF(COUNT(F6:F8)=3,"SCHATTING","NIET BEPAALD")</f>
        <v/>
      </c>
      <c r="H10" s="13" t="n"/>
    </row>
    <row r="11" ht="27" customHeight="1">
      <c r="A11" s="9" t="n"/>
      <c r="B11" s="13" t="n"/>
      <c r="C11" s="9" t="n"/>
      <c r="D11" s="32" t="n"/>
      <c r="E11" s="32" t="n"/>
      <c r="F11" s="32" t="n"/>
      <c r="G11" s="13" t="n"/>
      <c r="H11" s="13" t="n"/>
    </row>
    <row r="12" ht="27" customHeight="1">
      <c r="A12" s="23" t="inlineStr">
        <is>
          <t>Bodemverdeling volgens cursus - materiaal niet herbruikbaar voor reclamatie</t>
        </is>
      </c>
      <c r="B12" s="26" t="n"/>
      <c r="C12" s="23" t="n"/>
      <c r="D12" s="34" t="n"/>
      <c r="E12" s="34" t="n"/>
      <c r="F12" s="34" t="n"/>
      <c r="G12" s="26" t="n"/>
      <c r="H12" s="26" t="n"/>
    </row>
    <row r="13" ht="27" customHeight="1">
      <c r="A13" s="8" t="inlineStr">
        <is>
          <t>Zone</t>
        </is>
      </c>
      <c r="B13" s="8" t="inlineStr">
        <is>
          <t>Gebied</t>
        </is>
      </c>
      <c r="C13" s="8" t="inlineStr">
        <is>
          <t>Zand</t>
        </is>
      </c>
      <c r="D13" s="39" t="inlineStr">
        <is>
          <t>Zachte klei</t>
        </is>
      </c>
      <c r="E13" s="39" t="inlineStr">
        <is>
          <t>Stevige/harde klei</t>
        </is>
      </c>
      <c r="F13" s="39" t="inlineStr">
        <is>
          <t>Som</t>
        </is>
      </c>
      <c r="G13" s="8" t="inlineStr">
        <is>
          <t>Status</t>
        </is>
      </c>
      <c r="H13" s="13" t="n"/>
    </row>
    <row r="14" ht="27" customHeight="1">
      <c r="A14" s="9" t="n">
        <v>1</v>
      </c>
      <c r="B14" s="13" t="inlineStr">
        <is>
          <t>Havenbekken</t>
        </is>
      </c>
      <c r="C14" s="44" t="n">
        <v>0.2</v>
      </c>
      <c r="D14" s="44" t="n">
        <v>0.3</v>
      </c>
      <c r="E14" s="44" t="n">
        <v>0.5</v>
      </c>
      <c r="F14" s="44">
        <f>SUM(C14:E14)</f>
        <v/>
      </c>
      <c r="G14" s="13">
        <f>IF(ABS(F14-1)&lt;0.000001,"100%","CONTROLEER")</f>
        <v/>
      </c>
      <c r="H14" s="13" t="n"/>
    </row>
    <row r="15" ht="27" customHeight="1">
      <c r="A15" s="9" t="n">
        <v>2</v>
      </c>
      <c r="B15" s="13" t="inlineStr">
        <is>
          <t>Geul tot DHN -15m</t>
        </is>
      </c>
      <c r="C15" s="44" t="n">
        <v>0.5</v>
      </c>
      <c r="D15" s="44" t="n">
        <v>0.15</v>
      </c>
      <c r="E15" s="44" t="n">
        <v>0.35</v>
      </c>
      <c r="F15" s="44">
        <f>SUM(C15:E15)</f>
        <v/>
      </c>
      <c r="G15" s="13">
        <f>IF(ABS(F15-1)&lt;0.000001,"100%","CONTROLEER")</f>
        <v/>
      </c>
      <c r="H15" s="13" t="n"/>
    </row>
    <row r="16" ht="27" customHeight="1">
      <c r="A16" s="9" t="n">
        <v>3</v>
      </c>
      <c r="B16" s="13" t="inlineStr">
        <is>
          <t>Geul voorbij DHN -15m</t>
        </is>
      </c>
      <c r="C16" s="44" t="n">
        <v>0.5</v>
      </c>
      <c r="D16" s="44" t="n">
        <v>0.3</v>
      </c>
      <c r="E16" s="44" t="n">
        <v>0.2</v>
      </c>
      <c r="F16" s="44">
        <f>SUM(C16:E16)</f>
        <v/>
      </c>
      <c r="G16" s="13">
        <f>IF(ABS(F16-1)&lt;0.000001,"100%","CONTROLEER")</f>
        <v/>
      </c>
      <c r="H16" s="13" t="n"/>
    </row>
    <row r="17" ht="27" customHeight="1">
      <c r="A17" s="9" t="n"/>
      <c r="B17" s="13" t="n"/>
      <c r="C17" s="9" t="n"/>
      <c r="D17" s="32" t="n"/>
      <c r="E17" s="32" t="n"/>
      <c r="F17" s="32" t="n"/>
      <c r="G17" s="13" t="n"/>
      <c r="H17" s="13" t="n"/>
    </row>
    <row r="18" ht="27" customHeight="1">
      <c r="A18" s="9" t="n"/>
      <c r="B18" s="13" t="n"/>
      <c r="C18" s="9" t="n"/>
      <c r="D18" s="32" t="n"/>
      <c r="E18" s="32" t="n"/>
      <c r="F18" s="32" t="n"/>
      <c r="G18" s="13" t="n"/>
      <c r="H18" s="13" t="n"/>
    </row>
    <row r="19" ht="27" customHeight="1">
      <c r="A19" s="23" t="inlineStr">
        <is>
          <t>Reclamatie met gemiddeld landniveau - extern geschikt materiaal nodig</t>
        </is>
      </c>
      <c r="B19" s="26" t="n"/>
      <c r="C19" s="23" t="n"/>
      <c r="D19" s="34" t="n"/>
      <c r="E19" s="34" t="n"/>
      <c r="F19" s="34" t="n"/>
      <c r="G19" s="26" t="n"/>
      <c r="H19" s="26" t="n"/>
    </row>
    <row r="20" ht="27" customHeight="1">
      <c r="A20" s="8" t="inlineStr">
        <is>
          <t>Ref</t>
        </is>
      </c>
      <c r="B20" s="8" t="inlineStr">
        <is>
          <t>Onderdeel</t>
        </is>
      </c>
      <c r="C20" s="8" t="inlineStr">
        <is>
          <t>Eenheid</t>
        </is>
      </c>
      <c r="D20" s="39" t="inlineStr">
        <is>
          <t>Waarde</t>
        </is>
      </c>
      <c r="E20" s="39" t="inlineStr">
        <is>
          <t>Status</t>
        </is>
      </c>
      <c r="F20" s="39" t="inlineStr">
        <is>
          <t>Toelichting</t>
        </is>
      </c>
      <c r="G20" s="13" t="n"/>
      <c r="H20" s="13" t="n"/>
    </row>
    <row r="21" ht="27" customHeight="1">
      <c r="A21" s="9" t="inlineStr">
        <is>
          <t>G1</t>
        </is>
      </c>
      <c r="B21" s="13" t="inlineStr">
        <is>
          <t>Te vullen oppervlakte</t>
        </is>
      </c>
      <c r="C21" s="9" t="inlineStr">
        <is>
          <t>m2</t>
        </is>
      </c>
      <c r="D21" s="38" t="n">
        <v>3229941</v>
      </c>
      <c r="E21" s="32" t="inlineStr">
        <is>
          <t>Gemeten DO</t>
        </is>
      </c>
      <c r="F21" s="32" t="inlineStr">
        <is>
          <t>Terminals, LNG-zone, centrale en havendienst; exclusief reserveterreinen.</t>
        </is>
      </c>
      <c r="G21" s="13" t="n"/>
      <c r="H21" s="13" t="n"/>
    </row>
    <row r="22" ht="27" customHeight="1">
      <c r="A22" s="9" t="inlineStr">
        <is>
          <t>G2</t>
        </is>
      </c>
      <c r="B22" s="13" t="inlineStr">
        <is>
          <t>Bestaande gemiddelde hoogte</t>
        </is>
      </c>
      <c r="C22" s="9" t="inlineStr">
        <is>
          <t>m t.o.v. datum</t>
        </is>
      </c>
      <c r="D22" s="35" t="n"/>
      <c r="E22" s="32" t="n"/>
      <c r="F22" s="32" t="n"/>
      <c r="G22" s="13" t="n"/>
      <c r="H22" s="13" t="n"/>
    </row>
    <row r="23" ht="27" customHeight="1">
      <c r="A23" s="9" t="inlineStr">
        <is>
          <t>G3</t>
        </is>
      </c>
      <c r="B23" s="13" t="inlineStr">
        <is>
          <t>Ontwerp bovenzijde</t>
        </is>
      </c>
      <c r="C23" s="9" t="inlineStr">
        <is>
          <t>m zelfde datum</t>
        </is>
      </c>
      <c r="D23" s="35" t="n"/>
      <c r="E23" s="32" t="n"/>
      <c r="F23" s="32" t="n"/>
      <c r="G23" s="13" t="n"/>
      <c r="H23" s="13" t="n"/>
    </row>
    <row r="24" ht="27" customHeight="1">
      <c r="A24" s="9" t="inlineStr">
        <is>
          <t>G4</t>
        </is>
      </c>
      <c r="B24" s="13" t="inlineStr">
        <is>
          <t>Extra laag voor zetting</t>
        </is>
      </c>
      <c r="C24" s="9" t="inlineStr">
        <is>
          <t>m</t>
        </is>
      </c>
      <c r="D24" s="35" t="n"/>
      <c r="E24" s="32" t="n"/>
      <c r="F24" s="32" t="n"/>
      <c r="G24" s="13" t="n"/>
      <c r="H24" s="13" t="n"/>
    </row>
    <row r="25" ht="27" customHeight="1">
      <c r="A25" s="9" t="n"/>
      <c r="B25" s="13" t="inlineStr">
        <is>
          <t>Vulvolume schatting</t>
        </is>
      </c>
      <c r="C25" s="9" t="inlineStr">
        <is>
          <t>m3</t>
        </is>
      </c>
      <c r="D25" s="32">
        <f>IF(COUNT(D21:D24)=4,D21*MAX(0,D23-D22+D24),"")</f>
        <v/>
      </c>
      <c r="E25" s="32">
        <f>IF(COUNT(D21:D24)=4,"SCHATTING","INVOER ONTBREEKT")</f>
        <v/>
      </c>
      <c r="F25" s="32" t="n"/>
      <c r="G25" s="13" t="n"/>
      <c r="H25" s="13" t="n"/>
    </row>
    <row r="26" ht="27" customHeight="1">
      <c r="A26" s="9" t="n"/>
      <c r="B26" s="13" t="n"/>
      <c r="C26" s="9" t="n"/>
      <c r="D26" s="32" t="n"/>
      <c r="E26" s="32" t="n"/>
      <c r="F26" s="32" t="n"/>
      <c r="G26" s="13" t="n"/>
      <c r="H26" s="13" t="n"/>
    </row>
    <row r="27" ht="27" customHeight="1">
      <c r="A27" s="9" t="n"/>
      <c r="B27" s="13" t="n"/>
      <c r="C27" s="9" t="n"/>
      <c r="D27" s="32" t="n"/>
      <c r="E27" s="32" t="n"/>
      <c r="F27" s="32" t="n"/>
      <c r="G27" s="13" t="n"/>
      <c r="H27" s="13" t="n"/>
    </row>
    <row r="28" ht="27" customHeight="1">
      <c r="A28" s="9" t="n"/>
      <c r="B28" s="13" t="inlineStr">
        <is>
          <t>Methode voor definitieve volumes</t>
        </is>
      </c>
      <c r="C28" s="9" t="n"/>
      <c r="D28" s="32" t="n"/>
      <c r="E28" s="32" t="n"/>
      <c r="F28" s="32" t="n"/>
      <c r="G28" s="13" t="n"/>
      <c r="H28" s="13" t="inlineStr">
        <is>
          <t>TIN/cellen: som oppervlak x MAX(0, ontwerpdiepte - bestaande diepte).</t>
        </is>
      </c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8" customWidth="1" min="1" max="1"/>
    <col width="39" customWidth="1" min="2" max="2"/>
    <col width="18" customWidth="1" min="3" max="3"/>
    <col width="17" customWidth="1" min="4" max="4"/>
    <col width="17" customWidth="1" min="5" max="5"/>
    <col width="17" customWidth="1" min="6" max="6"/>
    <col width="24" customWidth="1" min="7" max="7"/>
    <col width="68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Afweging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27" customHeight="1">
      <c r="A5" s="8" t="inlineStr">
        <is>
          <t>Ref</t>
        </is>
      </c>
      <c r="B5" s="8" t="inlineStr">
        <is>
          <t>Criterium</t>
        </is>
      </c>
      <c r="C5" s="8" t="inlineStr">
        <is>
          <t>Gewicht</t>
        </is>
      </c>
      <c r="D5" s="8" t="inlineStr">
        <is>
          <t>A lineair</t>
        </is>
      </c>
      <c r="E5" s="8" t="inlineStr">
        <is>
          <t>B referentie</t>
        </is>
      </c>
      <c r="F5" s="8" t="inlineStr">
        <is>
          <t>C offshore</t>
        </is>
      </c>
      <c r="G5" s="8" t="inlineStr">
        <is>
          <t>D gescheiden</t>
        </is>
      </c>
      <c r="H5" s="8" t="inlineStr">
        <is>
          <t>Bewijs nodig</t>
        </is>
      </c>
    </row>
    <row r="6" ht="27" customHeight="1">
      <c r="A6" s="9" t="inlineStr">
        <is>
          <t>M1</t>
        </is>
      </c>
      <c r="B6" s="13" t="inlineStr">
        <is>
          <t>Bevaarbaarheid</t>
        </is>
      </c>
      <c r="C6" s="45" t="n">
        <v>0.3</v>
      </c>
      <c r="D6" s="35" t="n"/>
      <c r="E6" s="35" t="n"/>
      <c r="F6" s="35" t="n"/>
      <c r="G6" s="10" t="n"/>
      <c r="H6" s="13" t="inlineStr">
        <is>
          <t>Simulatie, toegangsroute en vrije draaicirkel</t>
        </is>
      </c>
    </row>
    <row r="7" ht="27" customHeight="1">
      <c r="A7" s="9" t="inlineStr">
        <is>
          <t>M2</t>
        </is>
      </c>
      <c r="B7" s="13" t="inlineStr">
        <is>
          <t>Baggeren en reclameren</t>
        </is>
      </c>
      <c r="C7" s="45" t="n">
        <v>0.25</v>
      </c>
      <c r="D7" s="35" t="n"/>
      <c r="E7" s="35" t="n"/>
      <c r="F7" s="35" t="n"/>
      <c r="G7" s="10" t="n"/>
      <c r="H7" s="13" t="inlineStr">
        <is>
          <t>Geometrie, bathymetrie, grondsoort en volume</t>
        </is>
      </c>
    </row>
    <row r="8" ht="27" customHeight="1">
      <c r="A8" s="9" t="inlineStr">
        <is>
          <t>M3</t>
        </is>
      </c>
      <c r="B8" s="13" t="inlineStr">
        <is>
          <t>Complexiteit aanleg</t>
        </is>
      </c>
      <c r="C8" s="45" t="n">
        <v>0.2</v>
      </c>
      <c r="D8" s="35" t="n"/>
      <c r="E8" s="35" t="n"/>
      <c r="F8" s="35" t="n"/>
      <c r="G8" s="10" t="n"/>
      <c r="H8" s="13" t="inlineStr">
        <is>
          <t>Dammen, funderingen, uitvoeringsvolgorde</t>
        </is>
      </c>
    </row>
    <row r="9" ht="27" customHeight="1">
      <c r="A9" s="9" t="inlineStr">
        <is>
          <t>M4</t>
        </is>
      </c>
      <c r="B9" s="13" t="inlineStr">
        <is>
          <t>Fasering en uitbreidbaarheid</t>
        </is>
      </c>
      <c r="C9" s="45" t="n">
        <v>0.15</v>
      </c>
      <c r="D9" s="35" t="n"/>
      <c r="E9" s="35" t="n"/>
      <c r="F9" s="35" t="n"/>
      <c r="G9" s="10" t="n"/>
      <c r="H9" s="13" t="inlineStr">
        <is>
          <t>Bouwen tijdens exploitatie en grondreserveringen</t>
        </is>
      </c>
    </row>
    <row r="10" ht="27" customHeight="1">
      <c r="A10" s="9" t="inlineStr">
        <is>
          <t>M5</t>
        </is>
      </c>
      <c r="B10" s="13" t="inlineStr">
        <is>
          <t>Milieu en LNG-scheiding</t>
        </is>
      </c>
      <c r="C10" s="45" t="n">
        <v>0.1</v>
      </c>
      <c r="D10" s="35" t="n"/>
      <c r="E10" s="35" t="n"/>
      <c r="F10" s="35" t="n"/>
      <c r="G10" s="10" t="n"/>
      <c r="H10" s="13" t="inlineStr">
        <is>
          <t>Ecologie, baggerstort, QRA en koelwater</t>
        </is>
      </c>
    </row>
    <row r="11" ht="27" customHeight="1">
      <c r="A11" s="9" t="n"/>
      <c r="B11" s="13" t="n"/>
      <c r="C11" s="9" t="n"/>
      <c r="D11" s="32" t="n"/>
      <c r="E11" s="32" t="n"/>
      <c r="F11" s="32" t="n"/>
      <c r="G11" s="9" t="n"/>
      <c r="H11" s="13" t="n"/>
    </row>
    <row r="12" ht="27" customHeight="1">
      <c r="A12" s="9" t="n"/>
      <c r="B12" s="13" t="inlineStr">
        <is>
          <t>Som gewichten</t>
        </is>
      </c>
      <c r="C12" s="9">
        <f>SUM(C6:C10)</f>
        <v/>
      </c>
      <c r="D12" s="32" t="n"/>
      <c r="E12" s="32" t="n"/>
      <c r="F12" s="32" t="n"/>
      <c r="G12" s="9" t="n"/>
      <c r="H12" s="13" t="n"/>
    </row>
    <row r="13" ht="27" customHeight="1">
      <c r="A13" s="9" t="n"/>
      <c r="B13" s="13" t="n"/>
      <c r="C13" s="9" t="n"/>
      <c r="D13" s="32" t="n"/>
      <c r="E13" s="32" t="n"/>
      <c r="F13" s="32" t="n"/>
      <c r="G13" s="9" t="n"/>
      <c r="H13" s="13" t="n"/>
    </row>
    <row r="14" ht="27" customHeight="1">
      <c r="A14" s="9" t="n"/>
      <c r="B14" s="13" t="inlineStr">
        <is>
          <t>Gewogen score 1 tot 5</t>
        </is>
      </c>
      <c r="C14" s="9" t="n"/>
      <c r="D14" s="32">
        <f>IF(AND(COUNT(D6:D10)=5,ABS($C$12-1)&lt;0.000001),SUMPRODUCT($C$6:$C$10,D6:D10),"")</f>
        <v/>
      </c>
      <c r="E14" s="32">
        <f>IF(AND(COUNT(E6:E10)=5,ABS($C$12-1)&lt;0.000001),SUMPRODUCT($C$6:$C$10,E6:E10),"")</f>
        <v/>
      </c>
      <c r="F14" s="32">
        <f>IF(AND(COUNT(F6:F10)=5,ABS($C$12-1)&lt;0.000001),SUMPRODUCT($C$6:$C$10,F6:F10),"")</f>
        <v/>
      </c>
      <c r="G14" s="9">
        <f>IF(AND(COUNT(G6:G10)=5,ABS($C$12-1)&lt;0.000001),SUMPRODUCT($C$6:$C$10,G6:G10),"")</f>
        <v/>
      </c>
      <c r="H14" s="13" t="n"/>
    </row>
    <row r="15" ht="27" customHeight="1">
      <c r="A15" s="9" t="n"/>
      <c r="B15" s="13" t="n"/>
      <c r="C15" s="9" t="n"/>
      <c r="D15" s="32" t="n"/>
      <c r="E15" s="32" t="n"/>
      <c r="F15" s="32" t="n"/>
      <c r="G15" s="9" t="n"/>
      <c r="H15" s="13" t="n"/>
    </row>
    <row r="16" ht="27" customHeight="1">
      <c r="A16" s="9" t="n"/>
      <c r="B16" s="13" t="inlineStr">
        <is>
          <t>Huidige voorkeursrichting</t>
        </is>
      </c>
      <c r="C16" s="9" t="n"/>
      <c r="D16" s="32" t="inlineStr">
        <is>
          <t>Porto Central als vormreferentie</t>
        </is>
      </c>
      <c r="E16" s="32" t="n"/>
      <c r="F16" s="32" t="n"/>
      <c r="G16" s="9" t="n"/>
      <c r="H16" s="13" t="n"/>
    </row>
    <row r="17" ht="27" customHeight="1">
      <c r="A17" s="9" t="n"/>
      <c r="B17" s="13" t="n"/>
      <c r="C17" s="9" t="n"/>
      <c r="D17" s="32" t="n"/>
      <c r="E17" s="32" t="n"/>
      <c r="F17" s="32" t="n"/>
      <c r="G17" s="9" t="n"/>
      <c r="H17" s="13" t="n"/>
    </row>
    <row r="18" ht="27" customHeight="1">
      <c r="A18" s="9" t="n"/>
      <c r="B18" s="13" t="inlineStr">
        <is>
          <t>Status vergelijking</t>
        </is>
      </c>
      <c r="C18" s="9" t="n"/>
      <c r="D18" s="32">
        <f>IF(COUNT(D14:G14)=4,"VOLLEDIG INGEVOERD","GROEPSSCHETSEN EN SCORES NODIG")</f>
        <v/>
      </c>
      <c r="E18" s="32" t="n"/>
      <c r="F18" s="32" t="n"/>
      <c r="G18" s="9" t="n"/>
      <c r="H18" s="13" t="n"/>
    </row>
    <row r="19" ht="27" customHeight="1">
      <c r="A19" s="9" t="n"/>
      <c r="B19" s="13" t="n"/>
      <c r="C19" s="9" t="n"/>
      <c r="D19" s="32" t="n"/>
      <c r="E19" s="32" t="n"/>
      <c r="F19" s="32" t="n"/>
      <c r="G19" s="9" t="n"/>
      <c r="H19" s="13" t="n"/>
    </row>
    <row r="20" ht="27" customHeight="1">
      <c r="A20" s="9" t="n"/>
      <c r="B20" s="13" t="n"/>
      <c r="C20" s="9" t="n"/>
      <c r="D20" s="32" t="n"/>
      <c r="E20" s="32" t="n"/>
      <c r="F20" s="32" t="n"/>
      <c r="G20" s="9" t="n"/>
      <c r="H20" s="13" t="inlineStr">
        <is>
          <t>Vul alleen scores in met motivering. 1 ongunstig, 5 gunstig. De oude 4,35-score geldt niet voor dit ontwerp.</t>
        </is>
      </c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</row>
  </sheetData>
  <dataValidations count="1">
    <dataValidation sqref="D6:G10" showDropDown="0" showInputMessage="0" showErrorMessage="0" allowBlank="0" type="whole" operator="between">
      <formula1>1</formula1>
      <formula2>5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8" customWidth="1" min="1" max="1"/>
    <col width="39" customWidth="1" min="2" max="2"/>
    <col width="72" customWidth="1" min="3" max="3"/>
    <col width="25" customWidth="1" min="4" max="4"/>
    <col width="65" customWidth="1" min="5" max="5"/>
    <col width="17" customWidth="1" min="6" max="6"/>
    <col width="24" customWidth="1" min="7" max="7"/>
    <col width="68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Keuzes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30" customHeight="1">
      <c r="A5" s="6" t="inlineStr">
        <is>
          <t>Ref</t>
        </is>
      </c>
      <c r="B5" s="6" t="inlineStr">
        <is>
          <t>Onderwerp</t>
        </is>
      </c>
      <c r="C5" s="6" t="inlineStr">
        <is>
          <t>Besluit of voorstel</t>
        </is>
      </c>
      <c r="D5" s="6" t="inlineStr">
        <is>
          <t>Status</t>
        </is>
      </c>
      <c r="E5" s="6" t="inlineStr">
        <is>
          <t>Onderbouwing</t>
        </is>
      </c>
      <c r="F5" s="1" t="n"/>
      <c r="G5" s="1" t="n"/>
      <c r="H5" s="1" t="n"/>
    </row>
    <row r="6" ht="55" customHeight="1">
      <c r="A6" s="1" t="inlineStr">
        <is>
          <t>K01</t>
        </is>
      </c>
      <c r="B6" s="21" t="inlineStr">
        <is>
          <t>Groep 1 programma</t>
        </is>
      </c>
      <c r="C6" s="21" t="inlineStr">
        <is>
          <t>Containers, graan, voertuigen, LNG en centrale</t>
        </is>
      </c>
      <c r="D6" s="21" t="inlineStr">
        <is>
          <t>Opdracht</t>
        </is>
      </c>
      <c r="E6" s="21" t="inlineStr">
        <is>
          <t>[1]</t>
        </is>
      </c>
      <c r="F6" s="1" t="n"/>
      <c r="G6" s="1" t="n"/>
      <c r="H6" s="1" t="n"/>
    </row>
    <row r="7" ht="55" customHeight="1">
      <c r="A7" s="1" t="inlineStr">
        <is>
          <t>K02</t>
        </is>
      </c>
      <c r="B7" s="21" t="inlineStr">
        <is>
          <t>Havenvorm</t>
        </is>
      </c>
      <c r="C7" s="21" t="inlineStr">
        <is>
          <t>Porto Central als referentie voor bekken, vingers en golfbrekers</t>
        </is>
      </c>
      <c r="D7" s="21" t="inlineStr">
        <is>
          <t>Gebruikerskeuze</t>
        </is>
      </c>
      <c r="E7" s="21" t="inlineStr">
        <is>
          <t>Beelden gebruiker + [6]</t>
        </is>
      </c>
      <c r="F7" s="1" t="n"/>
      <c r="G7" s="1" t="n"/>
      <c r="H7" s="1" t="n"/>
    </row>
    <row r="8" ht="55" customHeight="1">
      <c r="A8" s="1" t="inlineStr">
        <is>
          <t>K03</t>
        </is>
      </c>
      <c r="B8" s="21" t="inlineStr">
        <is>
          <t>Tekenwerk</t>
        </is>
      </c>
      <c r="C8" s="21" t="inlineStr">
        <is>
          <t>Gebruiker maakt eigen tekeningen</t>
        </is>
      </c>
      <c r="D8" s="21" t="inlineStr">
        <is>
          <t>Gebruikerskeuze</t>
        </is>
      </c>
      <c r="E8" s="21" t="inlineStr">
        <is>
          <t>22 oktober 2026</t>
        </is>
      </c>
      <c r="F8" s="1" t="n"/>
      <c r="G8" s="1" t="n"/>
      <c r="H8" s="1" t="n"/>
    </row>
    <row r="9" ht="55" customHeight="1">
      <c r="A9" s="1" t="inlineStr">
        <is>
          <t>K04</t>
        </is>
      </c>
      <c r="B9" s="21" t="inlineStr">
        <is>
          <t>Zoekgebied</t>
        </is>
      </c>
      <c r="C9" s="21" t="inlineStr">
        <is>
          <t>Locatie B uit Deel 1; exacte inpassing open</t>
        </is>
      </c>
      <c r="D9" s="21" t="inlineStr">
        <is>
          <t>Overgenomen</t>
        </is>
      </c>
      <c r="E9" s="21" t="inlineStr">
        <is>
          <t>[2] Geen gelijkstelling aan werkelijke Porto Central</t>
        </is>
      </c>
      <c r="F9" s="1" t="n"/>
      <c r="G9" s="1" t="n"/>
      <c r="H9" s="1" t="n"/>
    </row>
    <row r="10" ht="55" customHeight="1">
      <c r="A10" s="1" t="inlineStr">
        <is>
          <t>K05</t>
        </is>
      </c>
      <c r="B10" s="21" t="inlineStr">
        <is>
          <t>Toegelaten vloot</t>
        </is>
      </c>
      <c r="C10" s="21" t="inlineStr">
        <is>
          <t>Regulier T14,5m en L334m; geen 400m-schepen</t>
        </is>
      </c>
      <c r="D10" s="21" t="inlineStr">
        <is>
          <t>Overgenomen</t>
        </is>
      </c>
      <c r="E10" s="21" t="inlineStr">
        <is>
          <t>[2] T15m alleen na aparte dieptetoets</t>
        </is>
      </c>
      <c r="F10" s="1" t="n"/>
      <c r="G10" s="1" t="n"/>
      <c r="H10" s="1" t="n"/>
    </row>
    <row r="11" ht="55" customHeight="1">
      <c r="A11" s="1" t="inlineStr">
        <is>
          <t>K06</t>
        </is>
      </c>
      <c r="B11" s="21" t="inlineStr">
        <is>
          <t>LNG-vloot</t>
        </is>
      </c>
      <c r="C11" s="21" t="inlineStr">
        <is>
          <t>GASLOG GREECE regulier, MOZAH alleen grensscenario</t>
        </is>
      </c>
      <c r="D11" s="21" t="inlineStr">
        <is>
          <t>Ontwerpvoorstel</t>
        </is>
      </c>
      <c r="E11" s="21" t="inlineStr">
        <is>
          <t>[2] Grotere LNG-vloot vraagt nieuwe breedtetoets</t>
        </is>
      </c>
      <c r="F11" s="1" t="n"/>
      <c r="G11" s="1" t="n"/>
      <c r="H11" s="1" t="n"/>
    </row>
    <row r="12" ht="55" customHeight="1">
      <c r="A12" s="1" t="inlineStr">
        <is>
          <t>K07</t>
        </is>
      </c>
      <c r="B12" s="21" t="inlineStr">
        <is>
          <t>Verkeer</t>
        </is>
      </c>
      <c r="C12" s="21" t="inlineStr">
        <is>
          <t>Eenrichtingsgeul met VTS en loodsen</t>
        </is>
      </c>
      <c r="D12" s="21" t="inlineStr">
        <is>
          <t>Ontwerpvoorstel</t>
        </is>
      </c>
      <c r="E12" s="21" t="inlineStr">
        <is>
          <t>[3] Geen passeren in de hoofdgeul</t>
        </is>
      </c>
      <c r="F12" s="1" t="n"/>
      <c r="G12" s="1" t="n"/>
      <c r="H12" s="1" t="n"/>
    </row>
    <row r="13" ht="55" customHeight="1">
      <c r="A13" s="1" t="inlineStr">
        <is>
          <t>K08</t>
        </is>
      </c>
      <c r="B13" s="21" t="inlineStr">
        <is>
          <t>Breedte</t>
        </is>
      </c>
      <c r="C13" s="21" t="inlineStr">
        <is>
          <t>PIANC conceptmethode met matige dwarsstroom</t>
        </is>
      </c>
      <c r="D13" s="21" t="inlineStr">
        <is>
          <t>Rekenaanname</t>
        </is>
      </c>
      <c r="E13" s="21" t="inlineStr">
        <is>
          <t>Nautiek!D20 is leidend; oude 200m vervalt als basis</t>
        </is>
      </c>
      <c r="F13" s="1" t="n"/>
      <c r="G13" s="1" t="n"/>
      <c r="H13" s="1" t="n"/>
    </row>
    <row r="14" ht="55" customHeight="1">
      <c r="A14" s="1" t="inlineStr">
        <is>
          <t>K09</t>
        </is>
      </c>
      <c r="B14" s="21" t="inlineStr">
        <is>
          <t>Containerkranen</t>
        </is>
      </c>
      <c r="C14" s="21" t="inlineStr">
        <is>
          <t>3/4/5 gelijktijdige kranen per schip, netto30 box/h</t>
        </is>
      </c>
      <c r="D14" s="21" t="inlineStr">
        <is>
          <t>Rekenaanname</t>
        </is>
      </c>
      <c r="E14" s="21" t="inlineStr">
        <is>
          <t>Productiviteit en bezetting in Containers</t>
        </is>
      </c>
      <c r="F14" s="1" t="n"/>
      <c r="G14" s="1" t="n"/>
      <c r="H14" s="1" t="n"/>
    </row>
    <row r="15" ht="55" customHeight="1">
      <c r="A15" s="1" t="inlineStr">
        <is>
          <t>K10</t>
        </is>
      </c>
      <c r="B15" s="21" t="inlineStr">
        <is>
          <t>Terrein</t>
        </is>
      </c>
      <c r="C15" s="21" t="inlineStr">
        <is>
          <t>72/108/144ha containers,30ha graan en30ha RoRo</t>
        </is>
      </c>
      <c r="D15" s="21" t="inlineStr">
        <is>
          <t>Ontwerpvoorstel</t>
        </is>
      </c>
      <c r="E15" s="21" t="inlineStr">
        <is>
          <t>Nog te tekenen; niet uit referentiebeeld gemeten</t>
        </is>
      </c>
      <c r="F15" s="1" t="n"/>
      <c r="G15" s="1" t="n"/>
      <c r="H15" s="1" t="n"/>
    </row>
    <row r="16" ht="55" customHeight="1">
      <c r="A16" s="1" t="inlineStr">
        <is>
          <t>K11</t>
        </is>
      </c>
      <c r="B16" s="21" t="inlineStr">
        <is>
          <t>LNG-opslag</t>
        </is>
      </c>
      <c r="C16" s="21" t="inlineStr">
        <is>
          <t>3x180000m3; N-1 in eindfase onder gekozen buffer ontoereikend</t>
        </is>
      </c>
      <c r="D16" s="21" t="inlineStr">
        <is>
          <t>Ontwerpvoorstel</t>
        </is>
      </c>
      <c r="E16" s="21" t="inlineStr">
        <is>
          <t>Overige terminals r22-27</t>
        </is>
      </c>
      <c r="F16" s="1" t="n"/>
      <c r="G16" s="1" t="n"/>
      <c r="H16" s="1" t="n"/>
    </row>
    <row r="17" ht="55" customHeight="1">
      <c r="A17" s="1" t="inlineStr">
        <is>
          <t>K12</t>
        </is>
      </c>
      <c r="B17" s="21" t="inlineStr">
        <is>
          <t>Centrale</t>
        </is>
      </c>
      <c r="C17" s="21" t="inlineStr">
        <is>
          <t>Eindcapaciteit vanaf fase1; vermogensverdeling nog te kiezen</t>
        </is>
      </c>
      <c r="D17" s="21" t="inlineStr">
        <is>
          <t>Opdracht + rekenvoorbeeld</t>
        </is>
      </c>
      <c r="E17" s="21" t="inlineStr">
        <is>
          <t>50% LNG naar centrale is illustratief</t>
        </is>
      </c>
      <c r="F17" s="1" t="n"/>
      <c r="G17" s="1" t="n"/>
      <c r="H17" s="1" t="n"/>
    </row>
    <row r="18" ht="55" customHeight="1">
      <c r="A18" s="1" t="inlineStr">
        <is>
          <t>K13</t>
        </is>
      </c>
      <c r="B18" s="21" t="inlineStr">
        <is>
          <t>Baggergrond</t>
        </is>
      </c>
      <c r="C18" s="21" t="inlineStr">
        <is>
          <t>Niet voor reclamatie hergebruiken</t>
        </is>
      </c>
      <c r="D18" s="21" t="inlineStr">
        <is>
          <t>Opdrachtgegeven</t>
        </is>
      </c>
      <c r="E18" s="21" t="inlineStr">
        <is>
          <t>[4] Gemengd materiaal</t>
        </is>
      </c>
      <c r="F18" s="1" t="n"/>
      <c r="G18" s="1" t="n"/>
      <c r="H18" s="1" t="n"/>
    </row>
    <row r="19" ht="55" customHeight="1">
      <c r="A19" s="1" t="inlineStr">
        <is>
          <t>K14</t>
        </is>
      </c>
      <c r="B19" s="21" t="inlineStr">
        <is>
          <t>Golfbrekers</t>
        </is>
      </c>
      <c r="C19" s="21" t="inlineStr">
        <is>
          <t>Voorhaven beschermen; type en kruin pas na golfontwerp</t>
        </is>
      </c>
      <c r="D19" s="21" t="inlineStr">
        <is>
          <t>Ontwerpvoorstel</t>
        </is>
      </c>
      <c r="E19" s="21" t="inlineStr">
        <is>
          <t>Geen ongefundeerde steen- of hoogteberekening</t>
        </is>
      </c>
      <c r="F19" s="1" t="n"/>
      <c r="G19" s="1" t="n"/>
      <c r="H19" s="1" t="n"/>
    </row>
    <row r="20" ht="55" customHeight="1">
      <c r="A20" s="1" t="inlineStr">
        <is>
          <t>K15</t>
        </is>
      </c>
      <c r="B20" s="21" t="inlineStr">
        <is>
          <t>Voorkeurstoets</t>
        </is>
      </c>
      <c r="C20" s="21" t="inlineStr">
        <is>
          <t>Vier groepsschetsen beoordelen met dezelfde gegevens</t>
        </is>
      </c>
      <c r="D20" s="21" t="inlineStr">
        <is>
          <t>Nog af te ronden</t>
        </is>
      </c>
      <c r="E20" s="21" t="inlineStr">
        <is>
          <t>Afweging; geen fictieve scores</t>
        </is>
      </c>
      <c r="F20" s="1" t="n"/>
      <c r="G20" s="1" t="n"/>
      <c r="H20" s="1" t="n"/>
    </row>
    <row r="21" ht="55" customHeight="1">
      <c r="A21" s="1" t="inlineStr">
        <is>
          <t>K16</t>
        </is>
      </c>
      <c r="B21" s="21" t="inlineStr">
        <is>
          <t>Definitieve toets</t>
        </is>
      </c>
      <c r="C21" s="21" t="inlineStr">
        <is>
          <t>Eigen tekening op bathymetrie en maatstaat koppelen</t>
        </is>
      </c>
      <c r="D21" s="21" t="inlineStr">
        <is>
          <t>Nog af te ronden</t>
        </is>
      </c>
      <c r="E21" s="21" t="inlineStr">
        <is>
          <t>Geul, vrije kom, kades, LNG en terreinoppervlakken</t>
        </is>
      </c>
      <c r="F21" s="1" t="n"/>
      <c r="G21" s="1" t="n"/>
      <c r="H21" s="1" t="n"/>
    </row>
    <row r="22">
      <c r="A22" s="1" t="inlineStr">
        <is>
          <t>K17</t>
        </is>
      </c>
      <c r="B22" s="1" t="inlineStr">
        <is>
          <t>Havenligging</t>
        </is>
      </c>
      <c r="C22" s="1" t="inlineStr">
        <is>
          <t>Locatie vastgesteld: Porto Central, Presidente Kennedy - Espírito Santo (29350-000). Havenas haaks op de kust (azimut 110 gr) door het bouwterrein fase 1; kustpunt A1 E 297.135,0 / N 7.650.000,0; bekkens landinwaarts op het Porto Central-terrein.</t>
        </is>
      </c>
      <c r="D22" s="1" t="inlineStr">
        <is>
          <t>Vastgelegd</t>
        </is>
      </c>
      <c r="E22" s="1" t="inlineStr">
        <is>
          <t>Besluitenlijst B01; vervolg: Ligging van de havenas op het terrein afstemmen met het bouwterrein fase 1 / masterplan.</t>
        </is>
      </c>
      <c r="F22" s="1" t="n"/>
      <c r="G22" s="1" t="n"/>
      <c r="H22" s="1" t="n"/>
    </row>
    <row r="23">
      <c r="A23" s="1" t="inlineStr">
        <is>
          <t>K18</t>
        </is>
      </c>
      <c r="B23" s="1" t="inlineStr">
        <is>
          <t>Havenvorm en programma</t>
        </is>
      </c>
      <c r="C23" s="1" t="inlineStr">
        <is>
          <t>DO: de vorm van de render blijft: gebogen dammen, ingang naar het OZO, hoofdbekken langs de noordkade, twee schuine vingers met insteekbekkens en het tankpark langs de zuidrand. Er staan alleen functies uit de opdracht in: containers (vinger 6), droge bulk/graan (noordkade), voertuigen/RoRo (vinger 7/8), LNG en de centrale (zuidrand). Erts, werf, industrie en olie zijn weggelaten; de overige ruimte op vinger 7/8 en de tweede insteek zijn uitbreidingsruimte voor de eigen ladingstromen na 2045.</t>
        </is>
      </c>
      <c r="D23" s="1" t="inlineStr">
        <is>
          <t>Vastgelegd</t>
        </is>
      </c>
      <c r="E23" s="1" t="inlineStr">
        <is>
          <t>Besluitenlijst B02; vervolg: Uitbreidingsruimte apart onderbouwen als de groei na 2045 aan de orde komt.</t>
        </is>
      </c>
      <c r="F23" s="1" t="n"/>
      <c r="G23" s="1" t="n"/>
      <c r="H23" s="1" t="n"/>
    </row>
    <row r="24">
      <c r="A24" s="1" t="inlineStr">
        <is>
          <t>K19</t>
        </is>
      </c>
      <c r="B24" s="1" t="inlineStr">
        <is>
          <t>Havenmond</t>
        </is>
      </c>
      <c r="C24" s="1" t="inlineStr">
        <is>
          <t>DO: dammen verlegd, 350 m vrij tussen de golfbrekerfootprints (90 m breed).</t>
        </is>
      </c>
      <c r="D24" s="1" t="inlineStr">
        <is>
          <t>Verwerkt</t>
        </is>
      </c>
      <c r="E24" s="1" t="inlineStr">
        <is>
          <t>Besluitenlijst B03; vervolg: Na golfbrekerontwerp (kruin, taluds) footprint en vrije breedte opnieuw meten.</t>
        </is>
      </c>
      <c r="F24" s="1" t="n"/>
      <c r="G24" s="1" t="n"/>
      <c r="H24" s="1" t="n"/>
    </row>
    <row r="25">
      <c r="A25" s="1" t="inlineStr">
        <is>
          <t>K20</t>
        </is>
      </c>
      <c r="B25" s="1" t="inlineStr">
        <is>
          <t>Manoeuvreren met grote schepen</t>
        </is>
      </c>
      <c r="C25" s="1" t="inlineStr">
        <is>
          <t>DO: containerkade aan de voorhavenzijde van vinger 6: containerschepen zwaaien in de draaikom (D 720 m = 2,2 LOA) en verhalen zijwaarts met sleepboten naar de kade, zonder bocht buiten de draaikom. Graan- en RoRo-schepen (ca. 230 m) varen met 19 gr koerswijziging het hoofdbekken in en zwaaien in een draaikom binnenhaven van D 460 m (2 x LOA) op de kruising met het insteekbekken, op de plaats van de -16 m-cirkel in de render; die ligt 286 m vrij van afgemeerde schepen. Draaikom voorhaven 170 m vrij; stopweg 1.720 m = 5,1 LOA.</t>
        </is>
      </c>
      <c r="D25" s="1" t="inlineStr">
        <is>
          <t>Verwerkt</t>
        </is>
      </c>
      <c r="E25" s="1" t="inlineStr">
        <is>
          <t>Besluitenlijst B04; vervolg: Toetsen met bochtstralen uit PIANC WG121 en een nautische simulatie met sleepboten.</t>
        </is>
      </c>
      <c r="F25" s="1" t="n"/>
      <c r="G25" s="1" t="n"/>
      <c r="H25" s="1" t="n"/>
    </row>
    <row r="26">
      <c r="A26" s="1" t="inlineStr">
        <is>
          <t>K21</t>
        </is>
      </c>
      <c r="B26" s="1" t="inlineStr">
        <is>
          <t>Toegangsgeul en sleepboten</t>
        </is>
      </c>
      <c r="C26" s="1" t="inlineStr">
        <is>
          <t>DO: rechte geul 220 m, -18,20 m MLWS, in het verlengde van de havenmond; koppelpunt 1.500 m buiten de mond (A4). Lengte buiten de mond voorlopig 18.000 m: Porto Central meldt een toegang van ca. 26 km tot ca. -25 m; bij een vergelijkbare helling ligt de -18,2 m-lijn rond 18 km.</t>
        </is>
      </c>
      <c r="D26" s="1" t="inlineStr">
        <is>
          <t>Deels open</t>
        </is>
      </c>
      <c r="E26" s="1" t="inlineStr">
        <is>
          <t>Besluitenlijst B05; vervolg: Eindpunt op de -18,2 m MLWS-dieptelijn van de bathymetrie leggen; MLWS-DHN koppelen; geullengte terugzetten in Nautiek D31.</t>
        </is>
      </c>
      <c r="F26" s="1" t="n"/>
      <c r="G26" s="1" t="n"/>
      <c r="H26" s="1" t="n"/>
    </row>
    <row r="27">
      <c r="A27" s="1" t="inlineStr">
        <is>
          <t>K22</t>
        </is>
      </c>
      <c r="B27" s="1" t="inlineStr">
        <is>
          <t>LNG-steiger en tanks</t>
        </is>
      </c>
      <c r="C27" s="1" t="inlineStr">
        <is>
          <t>DO: tanks in het zuidelijke deel van de LNG-zone, 296 m van het containerterrein met de zuidweg ertussen; LNG-steiger achter de zuidelijke dam, 561 m vrij van de draaikom; ruimte voor een 4e tank.</t>
        </is>
      </c>
      <c r="D27" s="1" t="inlineStr">
        <is>
          <t>Verwerkt / QRA open</t>
        </is>
      </c>
      <c r="E27" s="1" t="inlineStr">
        <is>
          <t>Besluitenlijst B06; vervolg: QRA en veiligheidsafstanden; N-1-voorraadbeleid kiezen.</t>
        </is>
      </c>
      <c r="F27" s="1" t="n"/>
      <c r="G27" s="1" t="n"/>
      <c r="H27" s="1" t="n"/>
    </row>
    <row r="28">
      <c r="A28" s="1" t="inlineStr">
        <is>
          <t>K23</t>
        </is>
      </c>
      <c r="B28" s="1" t="inlineStr">
        <is>
          <t>Droge bulk (graan) en RoRo</t>
        </is>
      </c>
      <c r="C28" s="1" t="inlineStr">
        <is>
          <t>DO: graan 30,4 ha aan de noordkade (render 10) met silo en transportband; RoRo 30,2 ha in de noordoosthoek van vinger 7/8 met kade aan het insteekbekken; ieder een kade van 300 m en een eigen poort.</t>
        </is>
      </c>
      <c r="D28" s="1" t="inlineStr">
        <is>
          <t>Verwerkt</t>
        </is>
      </c>
      <c r="E28" s="1" t="inlineStr">
        <is>
          <t>Besluitenlijst B07; vervolg: Rijcircuit RoRo en conveyorroute graan detailleren.</t>
        </is>
      </c>
      <c r="F28" s="1" t="n"/>
      <c r="G28" s="1" t="n"/>
      <c r="H28" s="1" t="n"/>
    </row>
    <row r="29">
      <c r="A29" s="1" t="inlineStr">
        <is>
          <t>K24</t>
        </is>
      </c>
      <c r="B29" s="1" t="inlineStr">
        <is>
          <t>Fasering</t>
        </is>
      </c>
      <c r="C29" s="1" t="inlineStr">
        <is>
          <t>DO: containers fase 1 aan de noordkop (C1-C2), de kade groeit zuidwaarts langs de voorhaven; gebaggerd 132,5 / 146,1 / 159,8 ha; insteek zuid, hoofdbekken west en tweede insteek (178,8 ha) pas na 2045.</t>
        </is>
      </c>
      <c r="D29" s="1" t="inlineStr">
        <is>
          <t>Verwerkt</t>
        </is>
      </c>
      <c r="E29" s="1" t="inlineStr">
        <is>
          <t>Besluitenlijst B08; vervolg: Bouwmethode uitbreiding naast werkende kade uitwerken.</t>
        </is>
      </c>
      <c r="F29" s="1" t="n"/>
      <c r="G29" s="1" t="n"/>
      <c r="H29" s="1" t="n"/>
    </row>
    <row r="30">
      <c r="A30" s="1" t="inlineStr">
        <is>
          <t>K25</t>
        </is>
      </c>
      <c r="B30" s="1" t="inlineStr">
        <is>
          <t>Centrale en utilities</t>
        </is>
      </c>
      <c r="C30" s="1" t="inlineStr">
        <is>
          <t>DO: reservering 43,5 ha naast de LNG-zone langs de zuidrand; gasleiding naar het regionale net; koelwater indicatief.</t>
        </is>
      </c>
      <c r="D30" s="1" t="inlineStr">
        <is>
          <t>Reservering</t>
        </is>
      </c>
      <c r="E30" s="1" t="inlineStr">
        <is>
          <t>Besluitenlijst B09; vervolg: Vermogen/proceskeuze vaststellen; recirculatie koelwater toetsen.</t>
        </is>
      </c>
      <c r="F30" s="1" t="n"/>
      <c r="G30" s="1" t="n"/>
      <c r="H30" s="1" t="n"/>
    </row>
    <row r="31">
      <c r="A31" s="1" t="inlineStr">
        <is>
          <t>K26</t>
        </is>
      </c>
      <c r="B31" s="1" t="inlineStr">
        <is>
          <t>Achterland</t>
        </is>
      </c>
      <c r="C31" s="1" t="inlineStr">
        <is>
          <t>DO: noordweg langs graan, RoRo en havendienst; zuidweg langs containerterrein, LNG en centrale; beide aangesloten op het regionale net aan de westzijde, met spoor.</t>
        </is>
      </c>
      <c r="D31" s="1" t="inlineStr">
        <is>
          <t>Verwerkt</t>
        </is>
      </c>
      <c r="E31" s="1" t="inlineStr">
        <is>
          <t>Besluitenlijst B10; vervolg: Tracé naar het regionale weg- en spoornet bepalen.</t>
        </is>
      </c>
      <c r="F31" s="1" t="n"/>
      <c r="G31" s="1" t="n"/>
      <c r="H31" s="1" t="n"/>
    </row>
    <row r="32">
      <c r="A32" s="1" t="inlineStr">
        <is>
          <t>K27</t>
        </is>
      </c>
      <c r="B32" s="1" t="inlineStr">
        <is>
          <t>Ondergrond en georeferentie</t>
        </is>
      </c>
      <c r="C32" s="1" t="inlineStr">
        <is>
          <t>Sentinel-2 L2A van 03-07-2026 (10 m); kust vs. GSHHS gemiddeld 14 m (sd 66 m); bronpunten liggen 14-18 m van de waterlijn.</t>
        </is>
      </c>
      <c r="D32" s="1" t="inlineStr">
        <is>
          <t>Gecontroleerd</t>
        </is>
      </c>
      <c r="E32" s="1" t="inlineStr">
        <is>
          <t>Besluitenlijst B11; vervolg: In Civil 3D drie herkenningspunten tegen Map Aerial meten en afwijking invullen.</t>
        </is>
      </c>
      <c r="F32" s="1" t="n"/>
      <c r="G32" s="1" t="n"/>
      <c r="H32" s="1" t="n"/>
    </row>
    <row r="33">
      <c r="A33" s="1" t="inlineStr">
        <is>
          <t>K28</t>
        </is>
      </c>
      <c r="B33" s="1" t="inlineStr">
        <is>
          <t>Grondwerk</t>
        </is>
      </c>
      <c r="C33" s="1" t="inlineStr">
        <is>
          <t>Havenbekken 2.606.110 m2, geul buiten de mond 3.960.000 m2, terreinophoging 3.229.941 m2 ingevuld; ontwerpbodem als LandXML-oppervlak voor Civil 3D.</t>
        </is>
      </c>
      <c r="D33" s="1" t="inlineStr">
        <is>
          <t>Deels open</t>
        </is>
      </c>
      <c r="E33" s="1" t="inlineStr">
        <is>
          <t>Besluitenlijst B12; vervolg: Bathymetrie als Civil 3D-oppervlak inlezen en volume tegen Ontwerpbodem_DO berekenen; geul splitsen op DHN -15 m.</t>
        </is>
      </c>
      <c r="F33" s="1" t="n"/>
      <c r="G33" s="1" t="n"/>
      <c r="H33" s="1" t="n"/>
    </row>
    <row r="34">
      <c r="A34" s="1" t="inlineStr">
        <is>
          <t>K29</t>
        </is>
      </c>
      <c r="B34" s="1" t="inlineStr">
        <is>
          <t>Variantafweging</t>
        </is>
      </c>
      <c r="C34" s="1" t="inlineStr">
        <is>
          <t>Niet door de tekenaar ingevuld: de groep scoort de eigen schetsen met motivering.</t>
        </is>
      </c>
      <c r="D34" s="1" t="inlineStr">
        <is>
          <t>Open</t>
        </is>
      </c>
      <c r="E34" s="1" t="inlineStr">
        <is>
          <t>Besluitenlijst B13; vervolg: Tabblad Afweging invullen per groepslid-schets.</t>
        </is>
      </c>
      <c r="F34" s="1" t="n"/>
      <c r="G34" s="1" t="n"/>
      <c r="H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48" customWidth="1" min="1" max="1"/>
    <col width="30" customWidth="1" min="2" max="2"/>
    <col width="14" customWidth="1" min="3" max="3"/>
    <col width="14" customWidth="1" min="4" max="4"/>
    <col width="26" customWidth="1" min="5" max="5"/>
    <col width="22" customWidth="1" min="6" max="6"/>
  </cols>
  <sheetData>
    <row r="1">
      <c r="A1" s="46" t="inlineStr">
        <is>
          <t>Maatstaat uit Haven_DO (gemeten in de tekening) - zie ook Maatstaat_en_coordinaten.xlsx</t>
        </is>
      </c>
    </row>
    <row r="2">
      <c r="A2" s="47" t="inlineStr">
        <is>
          <t>Onderdeel</t>
        </is>
      </c>
      <c r="B2" s="47" t="inlineStr">
        <is>
          <t>Eenheid</t>
        </is>
      </c>
      <c r="C2" s="47" t="inlineStr">
        <is>
          <t>Gemeten DO</t>
        </is>
      </c>
      <c r="D2" s="47" t="inlineStr">
        <is>
          <t>Rekenboek/eis</t>
        </is>
      </c>
      <c r="E2" s="47" t="inlineStr">
        <is>
          <t>Cel / bron</t>
        </is>
      </c>
      <c r="F2" s="47" t="inlineStr">
        <is>
          <t>Status</t>
        </is>
      </c>
    </row>
    <row r="3">
      <c r="A3" t="inlineStr">
        <is>
          <t>Hoofdgeul bodembreedte</t>
        </is>
      </c>
      <c r="B3" t="inlineStr">
        <is>
          <t>m</t>
        </is>
      </c>
      <c r="C3" t="n">
        <v>220</v>
      </c>
      <c r="D3" t="n">
        <v>220</v>
      </c>
      <c r="E3" t="inlineStr">
        <is>
          <t>Nautiek D20</t>
        </is>
      </c>
      <c r="F3" t="inlineStr">
        <is>
          <t>rekenuitkomst</t>
        </is>
      </c>
    </row>
    <row r="4">
      <c r="A4" t="inlineStr">
        <is>
          <t>Bodemhoogte geul en bekkens</t>
        </is>
      </c>
      <c r="B4" t="inlineStr">
        <is>
          <t>m MLWS</t>
        </is>
      </c>
      <c r="C4" t="n">
        <v>-18.2</v>
      </c>
      <c r="D4" t="n">
        <v>-18.2</v>
      </c>
      <c r="E4" t="inlineStr">
        <is>
          <t>Nautiek D25</t>
        </is>
      </c>
      <c r="F4" t="inlineStr">
        <is>
          <t>voorlopig</t>
        </is>
      </c>
    </row>
    <row r="5">
      <c r="A5" t="inlineStr">
        <is>
          <t>Geullengte buiten havenmond</t>
        </is>
      </c>
      <c r="B5" t="inlineStr">
        <is>
          <t>m</t>
        </is>
      </c>
      <c r="C5" t="n">
        <v>18000</v>
      </c>
      <c r="E5" t="inlineStr">
        <is>
          <t>Nautiek D31</t>
        </is>
      </c>
      <c r="F5" t="inlineStr">
        <is>
          <t>VOORLOPIG</t>
        </is>
      </c>
    </row>
    <row r="6">
      <c r="A6" t="inlineStr">
        <is>
          <t>Vaarafstand geuleinde - draaikom</t>
        </is>
      </c>
      <c r="B6" t="inlineStr">
        <is>
          <t>m</t>
        </is>
      </c>
      <c r="C6" t="n">
        <v>19720</v>
      </c>
      <c r="E6" t="inlineStr">
        <is>
          <t>Nautiek D31</t>
        </is>
      </c>
      <c r="F6" t="inlineStr">
        <is>
          <t>VOORLOPIG</t>
        </is>
      </c>
    </row>
    <row r="7">
      <c r="A7" t="inlineStr">
        <is>
          <t>Vrije draaikom diameter</t>
        </is>
      </c>
      <c r="B7" t="inlineStr">
        <is>
          <t>m</t>
        </is>
      </c>
      <c r="C7" t="n">
        <v>720</v>
      </c>
      <c r="D7" t="n">
        <v>720</v>
      </c>
      <c r="E7" t="inlineStr">
        <is>
          <t>Nautiek D28</t>
        </is>
      </c>
      <c r="F7" t="inlineStr">
        <is>
          <t>vrij getoetst</t>
        </is>
      </c>
    </row>
    <row r="8">
      <c r="A8" t="inlineStr">
        <is>
          <t>Draaikom tot afgemeerde schepen</t>
        </is>
      </c>
      <c r="B8" t="inlineStr">
        <is>
          <t>m</t>
        </is>
      </c>
      <c r="C8" t="n">
        <v>170</v>
      </c>
      <c r="D8" t="inlineStr">
        <is>
          <t>&gt;0</t>
        </is>
      </c>
      <c r="E8" t="inlineStr"/>
      <c r="F8" t="inlineStr">
        <is>
          <t>voldoet</t>
        </is>
      </c>
    </row>
    <row r="9">
      <c r="A9" t="inlineStr">
        <is>
          <t>Draaikom tot kades/dammen</t>
        </is>
      </c>
      <c r="B9" t="inlineStr">
        <is>
          <t>m</t>
        </is>
      </c>
      <c r="C9" t="n">
        <v>220</v>
      </c>
      <c r="D9" t="inlineStr">
        <is>
          <t>&gt;0</t>
        </is>
      </c>
      <c r="E9" t="inlineStr"/>
      <c r="F9" t="inlineStr">
        <is>
          <t>voldoet</t>
        </is>
      </c>
    </row>
    <row r="10">
      <c r="A10" t="inlineStr">
        <is>
          <t>Havenmond vrij tussen footprints</t>
        </is>
      </c>
      <c r="B10" t="inlineStr">
        <is>
          <t>m</t>
        </is>
      </c>
      <c r="C10" t="n">
        <v>350</v>
      </c>
      <c r="D10" t="n">
        <v>350</v>
      </c>
      <c r="E10" t="inlineStr">
        <is>
          <t>Nautiek D29</t>
        </is>
      </c>
      <c r="F10" t="inlineStr">
        <is>
          <t>voldoet</t>
        </is>
      </c>
    </row>
    <row r="11">
      <c r="A11" t="inlineStr">
        <is>
          <t>Stopweg havenmond - draaikom</t>
        </is>
      </c>
      <c r="B11" t="inlineStr">
        <is>
          <t>m</t>
        </is>
      </c>
      <c r="C11" t="n">
        <v>1720</v>
      </c>
      <c r="D11" t="n">
        <v>1670</v>
      </c>
      <c r="E11" t="inlineStr">
        <is>
          <t>5 x LOA</t>
        </is>
      </c>
      <c r="F11" t="inlineStr">
        <is>
          <t>voldoet</t>
        </is>
      </c>
    </row>
    <row r="12">
      <c r="A12" t="inlineStr">
        <is>
          <t>Sleepbootkoppelpunt buiten mond</t>
        </is>
      </c>
      <c r="B12" t="inlineStr">
        <is>
          <t>m</t>
        </is>
      </c>
      <c r="C12" t="n">
        <v>1500</v>
      </c>
      <c r="E12" t="inlineStr">
        <is>
          <t>rapport 5.1</t>
        </is>
      </c>
      <c r="F12" t="inlineStr">
        <is>
          <t>ingetekend</t>
        </is>
      </c>
    </row>
    <row r="13">
      <c r="A13" t="inlineStr">
        <is>
          <t>Containerkade fase 1</t>
        </is>
      </c>
      <c r="B13" t="inlineStr">
        <is>
          <t>m</t>
        </is>
      </c>
      <c r="C13" t="n">
        <v>802.1921820132022</v>
      </c>
      <c r="D13" t="n">
        <v>800</v>
      </c>
      <c r="E13" t="inlineStr">
        <is>
          <t>Containers D18</t>
        </is>
      </c>
      <c r="F13" t="inlineStr">
        <is>
          <t>gelijk</t>
        </is>
      </c>
    </row>
    <row r="14">
      <c r="A14" t="inlineStr">
        <is>
          <t>Containerkade fase 2</t>
        </is>
      </c>
      <c r="B14" t="inlineStr">
        <is>
          <t>m</t>
        </is>
      </c>
      <c r="C14" t="n">
        <v>1203.288273019349</v>
      </c>
      <c r="D14" t="n">
        <v>1200</v>
      </c>
      <c r="E14" t="inlineStr">
        <is>
          <t>Containers E18</t>
        </is>
      </c>
      <c r="F14" t="inlineStr">
        <is>
          <t>gelijk</t>
        </is>
      </c>
    </row>
    <row r="15">
      <c r="A15" t="inlineStr">
        <is>
          <t>Containerkade fase 3</t>
        </is>
      </c>
      <c r="B15" t="inlineStr">
        <is>
          <t>m</t>
        </is>
      </c>
      <c r="C15" t="n">
        <v>1604.384364026388</v>
      </c>
      <c r="D15" t="n">
        <v>1600</v>
      </c>
      <c r="E15" t="inlineStr">
        <is>
          <t>Containers F18</t>
        </is>
      </c>
      <c r="F15" t="inlineStr">
        <is>
          <t>gelijk</t>
        </is>
      </c>
    </row>
    <row r="16">
      <c r="A16" t="inlineStr">
        <is>
          <t>Containerterrein fase 1</t>
        </is>
      </c>
      <c r="B16" t="inlineStr">
        <is>
          <t>ha</t>
        </is>
      </c>
      <c r="C16" t="n">
        <v>72</v>
      </c>
      <c r="D16" t="n">
        <v>72</v>
      </c>
      <c r="E16" t="inlineStr">
        <is>
          <t>Invoer D20 (vraag 40,8)</t>
        </is>
      </c>
      <c r="F16" t="inlineStr">
        <is>
          <t>gelijk</t>
        </is>
      </c>
    </row>
    <row r="17">
      <c r="A17" t="inlineStr">
        <is>
          <t>Containerterrein fase 2</t>
        </is>
      </c>
      <c r="B17" t="inlineStr">
        <is>
          <t>ha</t>
        </is>
      </c>
      <c r="C17" t="n">
        <v>108</v>
      </c>
      <c r="D17" t="n">
        <v>108</v>
      </c>
      <c r="E17" t="inlineStr">
        <is>
          <t>Invoer E20 (vraag 67,9)</t>
        </is>
      </c>
      <c r="F17" t="inlineStr">
        <is>
          <t>gelijk</t>
        </is>
      </c>
    </row>
    <row r="18">
      <c r="A18" t="inlineStr">
        <is>
          <t>Containerterrein fase 3</t>
        </is>
      </c>
      <c r="B18" t="inlineStr">
        <is>
          <t>ha</t>
        </is>
      </c>
      <c r="C18" t="n">
        <v>144</v>
      </c>
      <c r="D18" t="n">
        <v>144</v>
      </c>
      <c r="E18" t="inlineStr">
        <is>
          <t>Invoer F20 (vraag 135,9)</t>
        </is>
      </c>
      <c r="F18" t="inlineStr">
        <is>
          <t>gelijk</t>
        </is>
      </c>
    </row>
    <row r="19">
      <c r="A19" t="inlineStr">
        <is>
          <t>Graankade</t>
        </is>
      </c>
      <c r="B19" t="inlineStr">
        <is>
          <t>m</t>
        </is>
      </c>
      <c r="C19" t="n">
        <v>300</v>
      </c>
      <c r="D19" t="n">
        <v>300</v>
      </c>
      <c r="E19" t="inlineStr">
        <is>
          <t>rapport 8.1</t>
        </is>
      </c>
      <c r="F19" t="inlineStr">
        <is>
          <t>gelijk</t>
        </is>
      </c>
    </row>
    <row r="20">
      <c r="A20" t="inlineStr">
        <is>
          <t>Graanterrein</t>
        </is>
      </c>
      <c r="B20" t="inlineStr">
        <is>
          <t>ha</t>
        </is>
      </c>
      <c r="C20" t="n">
        <v>30.4</v>
      </c>
      <c r="D20" t="n">
        <v>30</v>
      </c>
      <c r="E20" t="inlineStr">
        <is>
          <t>Invoer D39 (vraag 5,1)</t>
        </is>
      </c>
      <c r="F20" t="inlineStr">
        <is>
          <t>gelijk</t>
        </is>
      </c>
    </row>
    <row r="21">
      <c r="A21" t="inlineStr">
        <is>
          <t>RoRo-kade</t>
        </is>
      </c>
      <c r="B21" t="inlineStr">
        <is>
          <t>m</t>
        </is>
      </c>
      <c r="C21" t="n">
        <v>300</v>
      </c>
      <c r="D21" t="n">
        <v>300</v>
      </c>
      <c r="E21" t="inlineStr">
        <is>
          <t>rapport 8.2</t>
        </is>
      </c>
      <c r="F21" t="inlineStr">
        <is>
          <t>gelijk</t>
        </is>
      </c>
    </row>
    <row r="22">
      <c r="A22" t="inlineStr">
        <is>
          <t>RoRo-terrein</t>
        </is>
      </c>
      <c r="B22" t="inlineStr">
        <is>
          <t>ha</t>
        </is>
      </c>
      <c r="C22" t="n">
        <v>30.2</v>
      </c>
      <c r="D22" t="n">
        <v>30</v>
      </c>
      <c r="E22" t="inlineStr">
        <is>
          <t>Invoer D46 (vraag 26,9)</t>
        </is>
      </c>
      <c r="F22" t="inlineStr">
        <is>
          <t>gelijk</t>
        </is>
      </c>
    </row>
    <row r="23">
      <c r="A23" t="inlineStr">
        <is>
          <t>Draaikom binnenhaven (graan/RoRo)</t>
        </is>
      </c>
      <c r="B23" t="inlineStr">
        <is>
          <t>m</t>
        </is>
      </c>
      <c r="C23" t="n">
        <v>460</v>
      </c>
      <c r="D23" t="n">
        <v>458</v>
      </c>
      <c r="E23" t="inlineStr">
        <is>
          <t>2 x LOA graan</t>
        </is>
      </c>
      <c r="F23" t="inlineStr">
        <is>
          <t>vrij getoetst</t>
        </is>
      </c>
    </row>
    <row r="24">
      <c r="A24" t="inlineStr">
        <is>
          <t xml:space="preserve">  afstand tot afgemeerde schepen</t>
        </is>
      </c>
      <c r="B24" t="inlineStr">
        <is>
          <t>m</t>
        </is>
      </c>
      <c r="C24" t="n">
        <v>286</v>
      </c>
      <c r="D24" t="inlineStr">
        <is>
          <t>&gt;0</t>
        </is>
      </c>
      <c r="E24" t="inlineStr"/>
      <c r="F24" t="inlineStr">
        <is>
          <t>voldoet</t>
        </is>
      </c>
    </row>
    <row r="25">
      <c r="A25" t="inlineStr">
        <is>
          <t>LNG-ligplaatsenvelop</t>
        </is>
      </c>
      <c r="B25" t="inlineStr">
        <is>
          <t>m</t>
        </is>
      </c>
      <c r="C25" t="n">
        <v>400</v>
      </c>
      <c r="D25" t="n">
        <v>400</v>
      </c>
      <c r="E25" t="inlineStr">
        <is>
          <t>tekenbrief</t>
        </is>
      </c>
      <c r="F25" t="inlineStr">
        <is>
          <t>dolphins indicatief</t>
        </is>
      </c>
    </row>
    <row r="26">
      <c r="A26" t="inlineStr">
        <is>
          <t>LNG-envelop tot draaikom</t>
        </is>
      </c>
      <c r="B26" t="inlineStr">
        <is>
          <t>m</t>
        </is>
      </c>
      <c r="C26" t="n">
        <v>561</v>
      </c>
      <c r="D26" t="inlineStr">
        <is>
          <t>&gt;0</t>
        </is>
      </c>
      <c r="E26" t="inlineStr"/>
      <c r="F26" t="inlineStr">
        <is>
          <t>vrij; QRA volgt</t>
        </is>
      </c>
    </row>
    <row r="27">
      <c r="A27" t="inlineStr">
        <is>
          <t>LNG-tanks tot containerterrein</t>
        </is>
      </c>
      <c r="B27" t="inlineStr">
        <is>
          <t>m</t>
        </is>
      </c>
      <c r="C27" t="n">
        <v>296</v>
      </c>
      <c r="E27" t="inlineStr"/>
      <c r="F27" t="inlineStr">
        <is>
          <t>QRA volgt</t>
        </is>
      </c>
    </row>
    <row r="28">
      <c r="A28" t="inlineStr">
        <is>
          <t>LNG-zone (tanks + hervergassing)</t>
        </is>
      </c>
      <c r="B28" t="inlineStr">
        <is>
          <t>ha</t>
        </is>
      </c>
      <c r="C28" t="n">
        <v>31.9</v>
      </c>
      <c r="E28" t="inlineStr">
        <is>
          <t>Invoer D51-D52</t>
        </is>
      </c>
      <c r="F28" t="inlineStr">
        <is>
          <t>3 tanks + optie 4e</t>
        </is>
      </c>
    </row>
    <row r="29">
      <c r="A29" t="inlineStr">
        <is>
          <t>Centrale + utilities (reservering)</t>
        </is>
      </c>
      <c r="B29" t="inlineStr">
        <is>
          <t>ha</t>
        </is>
      </c>
      <c r="C29" t="n">
        <v>43.5</v>
      </c>
      <c r="E29" t="inlineStr">
        <is>
          <t>geen vast oppervlak</t>
        </is>
      </c>
      <c r="F29" t="inlineStr">
        <is>
          <t>reservering</t>
        </is>
      </c>
    </row>
    <row r="30">
      <c r="A30" t="inlineStr">
        <is>
          <t>STS-kranen F1 / F2 / F3</t>
        </is>
      </c>
      <c r="B30" t="inlineStr">
        <is>
          <t>st</t>
        </is>
      </c>
      <c r="C30" t="inlineStr">
        <is>
          <t>6 / 12 / 20</t>
        </is>
      </c>
      <c r="D30" t="inlineStr">
        <is>
          <t>6 / 12 / 20</t>
        </is>
      </c>
      <c r="E30" t="inlineStr">
        <is>
          <t>Containers D19-F19</t>
        </is>
      </c>
      <c r="F30" t="inlineStr">
        <is>
          <t>gelijk</t>
        </is>
      </c>
    </row>
    <row r="31">
      <c r="A31" t="inlineStr">
        <is>
          <t>TEU-grondslots stackzone F3 (28 m2/slot)</t>
        </is>
      </c>
      <c r="B31" t="inlineStr">
        <is>
          <t>slots</t>
        </is>
      </c>
      <c r="C31" t="n">
        <v>40558</v>
      </c>
      <c r="D31" t="n">
        <v>40444</v>
      </c>
      <c r="E31" t="inlineStr">
        <is>
          <t>Containers F25</t>
        </is>
      </c>
      <c r="F31" t="inlineStr">
        <is>
          <t>voldoet</t>
        </is>
      </c>
    </row>
    <row r="32">
      <c r="A32" t="inlineStr">
        <is>
          <t>Stackzone bruto</t>
        </is>
      </c>
      <c r="B32" t="inlineStr">
        <is>
          <t>ha</t>
        </is>
      </c>
      <c r="C32" t="n">
        <v>113.6</v>
      </c>
      <c r="D32" t="n">
        <v>113.2</v>
      </c>
      <c r="E32" t="inlineStr">
        <is>
          <t>Containers F26</t>
        </is>
      </c>
      <c r="F32" t="inlineStr">
        <is>
          <t>voldoet</t>
        </is>
      </c>
    </row>
    <row r="33">
      <c r="A33" t="inlineStr">
        <is>
          <t>Graansilo's 8 x D 30 m x 40 m</t>
        </is>
      </c>
      <c r="B33" t="inlineStr">
        <is>
          <t>t</t>
        </is>
      </c>
      <c r="C33" t="n">
        <v>169646</v>
      </c>
      <c r="D33" t="n">
        <v>154100</v>
      </c>
      <c r="E33" t="inlineStr">
        <is>
          <t>Overige terminals F9</t>
        </is>
      </c>
      <c r="F33" t="inlineStr">
        <is>
          <t>voldoet</t>
        </is>
      </c>
    </row>
    <row r="34">
      <c r="A34" t="inlineStr">
        <is>
          <t>RoRo-parkeercapaciteit</t>
        </is>
      </c>
      <c r="B34" t="inlineStr">
        <is>
          <t>auto's</t>
        </is>
      </c>
      <c r="C34" t="n">
        <v>9698</v>
      </c>
      <c r="D34" t="n">
        <v>7479</v>
      </c>
      <c r="E34" t="inlineStr">
        <is>
          <t>Overige terminals F15</t>
        </is>
      </c>
      <c r="F34" t="inlineStr">
        <is>
          <t>voldoet</t>
        </is>
      </c>
    </row>
    <row r="35">
      <c r="A35" t="inlineStr">
        <is>
          <t>Centrale STEG-eenheden</t>
        </is>
      </c>
      <c r="B35" t="inlineStr">
        <is>
          <t>MW</t>
        </is>
      </c>
      <c r="C35" t="n">
        <v>2260</v>
      </c>
      <c r="D35" t="n">
        <v>2256</v>
      </c>
      <c r="E35" t="inlineStr">
        <is>
          <t>Overige terminals F30</t>
        </is>
      </c>
      <c r="F35" t="inlineStr">
        <is>
          <t>rekenvoorbeeld</t>
        </is>
      </c>
    </row>
    <row r="36">
      <c r="A36" t="inlineStr">
        <is>
          <t>Havendiensten / sleepboten</t>
        </is>
      </c>
      <c r="B36" t="inlineStr">
        <is>
          <t>ha</t>
        </is>
      </c>
      <c r="C36" t="n">
        <v>43</v>
      </c>
      <c r="E36" t="inlineStr"/>
      <c r="F36" t="inlineStr">
        <is>
          <t>reservering</t>
        </is>
      </c>
    </row>
    <row r="37">
      <c r="A37" t="inlineStr">
        <is>
          <t>Vrije breedte hoofdbekken met graanschip aan de kade</t>
        </is>
      </c>
      <c r="B37" t="inlineStr">
        <is>
          <t>m</t>
        </is>
      </c>
      <c r="C37" t="n">
        <v>334</v>
      </c>
      <c r="D37" t="n">
        <v>220</v>
      </c>
      <c r="E37" t="inlineStr"/>
      <c r="F37" t="inlineStr">
        <is>
          <t>voldoet</t>
        </is>
      </c>
    </row>
    <row r="38">
      <c r="A38" t="inlineStr">
        <is>
          <t>Binnenbekken gebaggerd fase 1</t>
        </is>
      </c>
      <c r="B38" t="inlineStr">
        <is>
          <t>m2</t>
        </is>
      </c>
      <c r="C38" t="n">
        <v>1324523</v>
      </c>
      <c r="E38" t="inlineStr"/>
      <c r="F38" t="inlineStr"/>
    </row>
    <row r="39">
      <c r="A39" t="inlineStr">
        <is>
          <t>Binnenbekken gebaggerd fase 2 (cumulatief)</t>
        </is>
      </c>
      <c r="B39" t="inlineStr">
        <is>
          <t>m2</t>
        </is>
      </c>
      <c r="C39" t="n">
        <v>1461326</v>
      </c>
      <c r="E39" t="inlineStr"/>
      <c r="F39" t="inlineStr"/>
    </row>
    <row r="40">
      <c r="A40" t="inlineStr">
        <is>
          <t>Binnenbekken gebaggerd fase 3 (cumulatief)</t>
        </is>
      </c>
      <c r="B40" t="inlineStr">
        <is>
          <t>m2</t>
        </is>
      </c>
      <c r="C40" t="n">
        <v>1598128</v>
      </c>
      <c r="E40" t="inlineStr"/>
      <c r="F40" t="inlineStr"/>
    </row>
    <row r="41">
      <c r="A41" t="inlineStr">
        <is>
          <t>Voorhaven + LNG-insteek gebaggerd</t>
        </is>
      </c>
      <c r="B41" t="inlineStr">
        <is>
          <t>m2</t>
        </is>
      </c>
      <c r="C41" t="n">
        <v>1007981</v>
      </c>
      <c r="E41" t="inlineStr"/>
      <c r="F41" t="inlineStr"/>
    </row>
    <row r="42">
      <c r="A42" t="inlineStr">
        <is>
          <t>Havenbekken totaal (zone 1)</t>
        </is>
      </c>
      <c r="B42" t="inlineStr">
        <is>
          <t>m2</t>
        </is>
      </c>
      <c r="C42" t="n">
        <v>2606110</v>
      </c>
      <c r="E42" t="inlineStr">
        <is>
          <t>Grondwerk C6</t>
        </is>
      </c>
      <c r="F42" t="inlineStr">
        <is>
          <t>ingevuld</t>
        </is>
      </c>
    </row>
    <row r="43">
      <c r="A43" t="inlineStr">
        <is>
          <t>Geul buiten de mond (zone 2 + 3)</t>
        </is>
      </c>
      <c r="B43" t="inlineStr">
        <is>
          <t>m2</t>
        </is>
      </c>
      <c r="C43" t="n">
        <v>3960000</v>
      </c>
      <c r="E43" t="inlineStr">
        <is>
          <t>Grondwerk C7 + C8</t>
        </is>
      </c>
      <c r="F43" t="inlineStr">
        <is>
          <t>splitsing open</t>
        </is>
      </c>
    </row>
    <row r="44">
      <c r="A44" t="inlineStr">
        <is>
          <t>Terreinophoging (terminals, LNG, centrale, havendienst)</t>
        </is>
      </c>
      <c r="B44" t="inlineStr">
        <is>
          <t>m2</t>
        </is>
      </c>
      <c r="C44" t="n">
        <v>3229941</v>
      </c>
      <c r="E44" t="inlineStr">
        <is>
          <t>Grondwerk D21</t>
        </is>
      </c>
      <c r="F44" t="inlineStr">
        <is>
          <t>ingevuld</t>
        </is>
      </c>
    </row>
    <row r="46">
      <c r="A46" t="inlineStr">
        <is>
          <t>Punt</t>
        </is>
      </c>
      <c r="B46" t="inlineStr">
        <is>
          <t>Omschrijving</t>
        </is>
      </c>
      <c r="C46" t="inlineStr">
        <is>
          <t>E (m)</t>
        </is>
      </c>
      <c r="D46" t="inlineStr">
        <is>
          <t>N (m)</t>
        </is>
      </c>
      <c r="E46" t="inlineStr">
        <is>
          <t>Lat</t>
        </is>
      </c>
      <c r="F46" t="inlineStr">
        <is>
          <t>Lon</t>
        </is>
      </c>
    </row>
    <row r="47">
      <c r="A47" t="inlineStr">
        <is>
          <t>A1</t>
        </is>
      </c>
      <c r="B47" t="inlineStr">
        <is>
          <t>Referentiepunt kust (render 812,5 / 275)</t>
        </is>
      </c>
      <c r="C47" t="n">
        <v>297135</v>
      </c>
      <c r="D47" t="n">
        <v>7650000</v>
      </c>
      <c r="E47" t="n">
        <v>-21.2403293</v>
      </c>
      <c r="F47" t="n">
        <v>-40.9548262</v>
      </c>
    </row>
    <row r="48">
      <c r="A48" t="inlineStr">
        <is>
          <t>A2</t>
        </is>
      </c>
      <c r="B48" t="inlineStr">
        <is>
          <t>Middelpunt vrije draaikom</t>
        </is>
      </c>
      <c r="C48" t="n">
        <v>297534.6</v>
      </c>
      <c r="D48" t="n">
        <v>7649611.92</v>
      </c>
      <c r="E48" t="n">
        <v>-21.2438783</v>
      </c>
      <c r="F48" t="n">
        <v>-40.9510234</v>
      </c>
    </row>
    <row r="49">
      <c r="A49" t="inlineStr">
        <is>
          <t>A3</t>
        </is>
      </c>
      <c r="B49" t="inlineStr">
        <is>
          <t>Midden havenmond</t>
        </is>
      </c>
      <c r="C49" t="n">
        <v>299233.15</v>
      </c>
      <c r="D49" t="n">
        <v>7649340.79</v>
      </c>
      <c r="E49" t="n">
        <v>-21.2465152</v>
      </c>
      <c r="F49" t="n">
        <v>-40.9346946</v>
      </c>
    </row>
    <row r="50">
      <c r="A50" t="inlineStr">
        <is>
          <t>A4</t>
        </is>
      </c>
      <c r="B50" t="inlineStr">
        <is>
          <t>Sleepbootkoppelpunt</t>
        </is>
      </c>
      <c r="C50" t="n">
        <v>300714.4</v>
      </c>
      <c r="D50" t="n">
        <v>7649104.35</v>
      </c>
      <c r="E50" t="n">
        <v>-21.2488135</v>
      </c>
      <c r="F50" t="n">
        <v>-40.9204543</v>
      </c>
    </row>
    <row r="51">
      <c r="A51" t="inlineStr">
        <is>
          <t>A5</t>
        </is>
      </c>
      <c r="B51" t="inlineStr">
        <is>
          <t>Eindpunt geul (voorlopig)</t>
        </is>
      </c>
      <c r="C51" t="n">
        <v>317008.13</v>
      </c>
      <c r="D51" t="n">
        <v>7646503.5</v>
      </c>
      <c r="E51" t="n">
        <v>-21.274017</v>
      </c>
      <c r="F51" t="n">
        <v>-40.7637753</v>
      </c>
    </row>
    <row r="52">
      <c r="A52" t="inlineStr">
        <is>
          <t>A6</t>
        </is>
      </c>
      <c r="B52" t="inlineStr">
        <is>
          <t>Wortel noordelijke golfbreker</t>
        </is>
      </c>
      <c r="C52" t="n">
        <v>297202.27</v>
      </c>
      <c r="D52" t="n">
        <v>7650918.75</v>
      </c>
      <c r="E52" t="n">
        <v>-21.2320404</v>
      </c>
      <c r="F52" t="n">
        <v>-40.9540689</v>
      </c>
    </row>
    <row r="53">
      <c r="A53" t="inlineStr">
        <is>
          <t>A7</t>
        </is>
      </c>
      <c r="B53" t="inlineStr">
        <is>
          <t>Wortel zuidelijke golfbreker</t>
        </is>
      </c>
      <c r="C53" t="n">
        <v>296285.1</v>
      </c>
      <c r="D53" t="n">
        <v>7647740.85</v>
      </c>
      <c r="E53" t="n">
        <v>-21.2606345</v>
      </c>
      <c r="F53" t="n">
        <v>-40.9632826</v>
      </c>
    </row>
    <row r="54">
      <c r="A54" t="inlineStr">
        <is>
          <t>A8</t>
        </is>
      </c>
      <c r="B54" t="inlineStr">
        <is>
          <t>Containerkade noordeinde</t>
        </is>
      </c>
      <c r="C54" t="n">
        <v>296970.74</v>
      </c>
      <c r="D54" t="n">
        <v>7649746.86</v>
      </c>
      <c r="E54" t="n">
        <v>-21.2425969</v>
      </c>
      <c r="F54" t="n">
        <v>-40.9564384</v>
      </c>
    </row>
    <row r="55">
      <c r="A55" t="inlineStr">
        <is>
          <t>A9</t>
        </is>
      </c>
      <c r="B55" t="inlineStr">
        <is>
          <t>Containerkade zuideinde</t>
        </is>
      </c>
      <c r="C55" t="n">
        <v>296513.33</v>
      </c>
      <c r="D55" t="n">
        <v>7648209.06</v>
      </c>
      <c r="E55" t="n">
        <v>-21.2564321</v>
      </c>
      <c r="F55" t="n">
        <v>-40.9610281</v>
      </c>
    </row>
    <row r="56">
      <c r="A56" t="inlineStr">
        <is>
          <t>A10</t>
        </is>
      </c>
      <c r="B56" t="inlineStr">
        <is>
          <t>LNG-steigerkop</t>
        </is>
      </c>
      <c r="C56" t="n">
        <v>298268.67</v>
      </c>
      <c r="D56" t="n">
        <v>7648742.76</v>
      </c>
      <c r="E56" t="n">
        <v>-21.2518087</v>
      </c>
      <c r="F56" t="n">
        <v>-40.9440557</v>
      </c>
    </row>
    <row r="57">
      <c r="A57" t="inlineStr">
        <is>
          <t>A11</t>
        </is>
      </c>
      <c r="B57" t="inlineStr">
        <is>
          <t>Graankade midden</t>
        </is>
      </c>
      <c r="C57" t="n">
        <v>296296.46</v>
      </c>
      <c r="D57" t="n">
        <v>7650045.75</v>
      </c>
      <c r="E57" t="n">
        <v>-21.2398224</v>
      </c>
      <c r="F57" t="n">
        <v>-40.9628973</v>
      </c>
    </row>
    <row r="58">
      <c r="A58" t="inlineStr">
        <is>
          <t>A12</t>
        </is>
      </c>
      <c r="B58" t="inlineStr">
        <is>
          <t>RoRo-kade midden</t>
        </is>
      </c>
      <c r="C58" t="n">
        <v>295265.72</v>
      </c>
      <c r="D58" t="n">
        <v>7649177.72</v>
      </c>
      <c r="E58" t="n">
        <v>-21.2475449</v>
      </c>
      <c r="F58" t="n">
        <v>-40.9729295</v>
      </c>
    </row>
    <row r="59">
      <c r="A59" t="inlineStr">
        <is>
          <t>A13</t>
        </is>
      </c>
      <c r="B59" t="inlineStr">
        <is>
          <t>Middelpunt draaikom binnenhaven</t>
        </is>
      </c>
      <c r="C59" t="n">
        <v>295694.75</v>
      </c>
      <c r="D59" t="n">
        <v>7649644.15</v>
      </c>
      <c r="E59" t="n">
        <v>-21.2433813</v>
      </c>
      <c r="F59" t="n">
        <v>-40.968741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2026-10-22T11:55:45Z</dcterms:created>
  <dcterms:modified xmlns:dcterms="http://purl.org/dc/terms/" xmlns:xsi="http://www.w3.org/2001/XMLSchema-instance" xsi:type="dcterms:W3CDTF">2026-10-22T11:55:45Z</dcterms:modified>
</cp:coreProperties>
</file>