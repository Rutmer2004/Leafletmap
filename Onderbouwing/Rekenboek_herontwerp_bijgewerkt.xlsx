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11727</v>
      </c>
      <c r="E31" s="32" t="n"/>
      <c r="F31" s="32" t="n"/>
      <c r="G31" s="13" t="inlineStr">
        <is>
          <t>VOORLOPIG</t>
        </is>
      </c>
      <c r="H31" s="13" t="inlineStr">
        <is>
          <t>DO-tekening: 10.000 m buiten de mond (eindpunt A5 nog op -18,2 m MLWS-lijn leggen) + 1.727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2649198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2.200.000 m2 (220 x 10.000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3266194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</t>
        </is>
      </c>
      <c r="C23" s="1" t="inlineStr">
        <is>
          <t>DO: de Porto Central-render is op schaal overgetrokken (10,035 m per pixel, op de kust gedraaid): gebogen dammen met ingang naar het OZO, hoofdbekken oost-west langs de noordkade, schuine vingers en insteekbekkens evenwijdig aan de kust, containervinger (6) met de kraankade aan de insteekzijde, tankpark langs de zuidrand (9) en LNG-steiger bij de zuidelijke dam (18). Zie blad DO-05.</t>
        </is>
      </c>
      <c r="D23" s="1" t="inlineStr">
        <is>
          <t>Vastgelegd</t>
        </is>
      </c>
      <c r="E23" s="1" t="inlineStr">
        <is>
          <t>Besluitenlijst B02; vervolg: Olie- en droge-bulksteigers (4, 5), werf (3) en erts (2) vallen buiten het programma: weggelaten of reserve.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Draaikom en stopweg</t>
        </is>
      </c>
      <c r="C25" s="1" t="inlineStr">
        <is>
          <t>DO: draaikom in de voorhaven op de plaats van de -20 m-cirkel in de render; stopweg 1.727 m = 5,2 LOA; 646 m vrij van afgemeerde schepen en 230 m van kades/dammen.</t>
        </is>
      </c>
      <c r="D25" s="1" t="inlineStr">
        <is>
          <t>Verwerkt</t>
        </is>
      </c>
      <c r="E25" s="1" t="inlineStr">
        <is>
          <t>Besluitenlijst B04; vervolg: Nautische (simulator)toets: bocht van de toegang naar het insteekbekken (ca. 115 gr)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10.000 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LNG-tanks in het oostelijke deel van het tankpark (masterplan 9), 296 m van het containerterrein met de ringweg ertussen; LNG-steiger (18) 729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 (tanks tegen containerterrein);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Graan en RoRo</t>
        </is>
      </c>
      <c r="C28" s="1" t="inlineStr">
        <is>
          <t>DO: graan 30,4 ha aan de noordkade (masterplan 10) met silo en transportband; RoRo 30,2 ha in de noordoosthoek van vinger 7/8 aan het insteekbekken, ieder een eigen kade van 300 m en eigen poort.</t>
        </is>
      </c>
      <c r="D28" s="1" t="inlineStr">
        <is>
          <t>Verwerkt</t>
        </is>
      </c>
      <c r="E28" s="1" t="inlineStr">
        <is>
          <t>Besluitenlijst B07; vervolg: Ramp- en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aan de noordkop van de containervinger (C1-C2), kade groeit zuidwaarts het insteekbekken in; bekkens gebaggerd 113,9 / 136,9 / 159,9 ha; hoofdbekken west en tweede insteek (157,9 ha) in fase 4.</t>
        </is>
      </c>
      <c r="D29" s="1" t="inlineStr">
        <is>
          <t>Verwerkt</t>
        </is>
      </c>
      <c r="E29" s="1" t="inlineStr">
        <is>
          <t>Besluitenlijst B08; vervolg: Bouwmethode uitbreiding naast werkende kade (damwand/kistdam)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47,1 ha in de zuidelijke energiezone; gasleiding naar het regionale net; koelwaterinlaat in de voorhaven, uitlaat buiten de zuidelijke dam (indicatief).</t>
        </is>
      </c>
      <c r="D30" s="1" t="inlineStr">
        <is>
          <t>Reservering</t>
        </is>
      </c>
      <c r="E30" s="1" t="inlineStr">
        <is>
          <t>Besluitenlijst B09; vervolg: Vermogen/proceskeuze vaststellen; recirculatie en temperatuur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zoals de render: hoofdweg en spoor langs de noordrand, ontsluitingsweg aan de westzijde en een ringweg om de vingers langs het tankpark; containers, RoRo, LNG en centrale vanaf de ringweg, graan en havendiensten vanaf de noordweg.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2.649.198 m2, geul buiten de mond 2.200.000 m2, terreinophoging 3.266.194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10000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11727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646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230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1727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802.1921820131856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1203.288273019332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1604.384364026371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729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LNG-tanks tot containerterrein</t>
        </is>
      </c>
      <c r="B25" t="inlineStr">
        <is>
          <t>m</t>
        </is>
      </c>
      <c r="C25" t="n">
        <v>296</v>
      </c>
      <c r="E25" t="inlineStr"/>
      <c r="F25" t="inlineStr">
        <is>
          <t>QRA volgt</t>
        </is>
      </c>
    </row>
    <row r="26">
      <c r="A26" t="inlineStr">
        <is>
          <t>LNG-zone (tanks + hervergassing)</t>
        </is>
      </c>
      <c r="B26" t="inlineStr">
        <is>
          <t>ha</t>
        </is>
      </c>
      <c r="C26" t="n">
        <v>31.9</v>
      </c>
      <c r="E26" t="inlineStr">
        <is>
          <t>Invoer D51-D52</t>
        </is>
      </c>
      <c r="F26" t="inlineStr">
        <is>
          <t>3 tanks + optie 4e</t>
        </is>
      </c>
    </row>
    <row r="27">
      <c r="A27" t="inlineStr">
        <is>
          <t>Centrale + utilities (reservering)</t>
        </is>
      </c>
      <c r="B27" t="inlineStr">
        <is>
          <t>ha</t>
        </is>
      </c>
      <c r="C27" t="n">
        <v>47.1</v>
      </c>
      <c r="E27" t="inlineStr">
        <is>
          <t>geen vast oppervlak</t>
        </is>
      </c>
      <c r="F27" t="inlineStr">
        <is>
          <t>reservering</t>
        </is>
      </c>
    </row>
    <row r="28">
      <c r="A28" t="inlineStr">
        <is>
          <t>Havendiensten / sleepboten</t>
        </is>
      </c>
      <c r="B28" t="inlineStr">
        <is>
          <t>ha</t>
        </is>
      </c>
      <c r="C28" t="n">
        <v>43</v>
      </c>
      <c r="E28" t="inlineStr"/>
      <c r="F28" t="inlineStr">
        <is>
          <t>reservering</t>
        </is>
      </c>
    </row>
    <row r="29">
      <c r="A29" t="inlineStr">
        <is>
          <t>Reserveterreinen</t>
        </is>
      </c>
      <c r="B29" t="inlineStr">
        <is>
          <t>ha</t>
        </is>
      </c>
      <c r="C29" t="n">
        <v>850.2</v>
      </c>
      <c r="E29" t="inlineStr"/>
      <c r="F29" t="inlineStr">
        <is>
          <t>reservering</t>
        </is>
      </c>
    </row>
    <row r="30">
      <c r="A30" t="inlineStr">
        <is>
          <t>Vrije breedte insteekbekken met RoRo-schip</t>
        </is>
      </c>
      <c r="B30" t="inlineStr">
        <is>
          <t>m</t>
        </is>
      </c>
      <c r="C30" t="n">
        <v>479</v>
      </c>
      <c r="D30" t="n">
        <v>220</v>
      </c>
      <c r="E30" t="inlineStr"/>
      <c r="F30" t="inlineStr">
        <is>
          <t>voldoet</t>
        </is>
      </c>
    </row>
    <row r="31">
      <c r="A31" t="inlineStr">
        <is>
          <t>Binnenbekken gebaggerd fase 1</t>
        </is>
      </c>
      <c r="B31" t="inlineStr">
        <is>
          <t>m2</t>
        </is>
      </c>
      <c r="C31" t="n">
        <v>1138629</v>
      </c>
      <c r="E31" t="inlineStr"/>
      <c r="F31" t="inlineStr"/>
    </row>
    <row r="32">
      <c r="A32" t="inlineStr">
        <is>
          <t>Binnenbekken gebaggerd fase 2 (cumulatief)</t>
        </is>
      </c>
      <c r="B32" t="inlineStr">
        <is>
          <t>m2</t>
        </is>
      </c>
      <c r="C32" t="n">
        <v>1369033</v>
      </c>
      <c r="E32" t="inlineStr"/>
      <c r="F32" t="inlineStr"/>
    </row>
    <row r="33">
      <c r="A33" t="inlineStr">
        <is>
          <t>Binnenbekken gebaggerd fase 3 (cumulatief)</t>
        </is>
      </c>
      <c r="B33" t="inlineStr">
        <is>
          <t>m2</t>
        </is>
      </c>
      <c r="C33" t="n">
        <v>1599438</v>
      </c>
      <c r="E33" t="inlineStr"/>
      <c r="F33" t="inlineStr"/>
    </row>
    <row r="34">
      <c r="A34" t="inlineStr">
        <is>
          <t>Voorhaven + LNG-insteek gebaggerd</t>
        </is>
      </c>
      <c r="B34" t="inlineStr">
        <is>
          <t>m2</t>
        </is>
      </c>
      <c r="C34" t="n">
        <v>1049760</v>
      </c>
      <c r="E34" t="inlineStr"/>
      <c r="F34" t="inlineStr"/>
    </row>
    <row r="35">
      <c r="A35" t="inlineStr">
        <is>
          <t>Havenbekken totaal (zone 1)</t>
        </is>
      </c>
      <c r="B35" t="inlineStr">
        <is>
          <t>m2</t>
        </is>
      </c>
      <c r="C35" t="n">
        <v>2649198</v>
      </c>
      <c r="E35" t="inlineStr">
        <is>
          <t>Grondwerk C6</t>
        </is>
      </c>
      <c r="F35" t="inlineStr">
        <is>
          <t>ingevuld</t>
        </is>
      </c>
    </row>
    <row r="36">
      <c r="A36" t="inlineStr">
        <is>
          <t>Geul buiten de mond (zone 2 + 3)</t>
        </is>
      </c>
      <c r="B36" t="inlineStr">
        <is>
          <t>m2</t>
        </is>
      </c>
      <c r="C36" t="n">
        <v>2200000</v>
      </c>
      <c r="E36" t="inlineStr">
        <is>
          <t>Grondwerk C7 + C8</t>
        </is>
      </c>
      <c r="F36" t="inlineStr">
        <is>
          <t>splitsing open</t>
        </is>
      </c>
    </row>
    <row r="37">
      <c r="A37" t="inlineStr">
        <is>
          <t>Terreinophoging (terminals, LNG, centrale, havendienst)</t>
        </is>
      </c>
      <c r="B37" t="inlineStr">
        <is>
          <t>m2</t>
        </is>
      </c>
      <c r="C37" t="n">
        <v>3266194</v>
      </c>
      <c r="E37" t="inlineStr">
        <is>
          <t>Grondwerk D21</t>
        </is>
      </c>
      <c r="F37" t="inlineStr">
        <is>
          <t>ingevuld</t>
        </is>
      </c>
    </row>
    <row r="39">
      <c r="A39" t="inlineStr">
        <is>
          <t>Punt</t>
        </is>
      </c>
      <c r="B39" t="inlineStr">
        <is>
          <t>Omschrijving</t>
        </is>
      </c>
      <c r="C39" t="inlineStr">
        <is>
          <t>E (m)</t>
        </is>
      </c>
      <c r="D39" t="inlineStr">
        <is>
          <t>N (m)</t>
        </is>
      </c>
      <c r="E39" t="inlineStr">
        <is>
          <t>Lat</t>
        </is>
      </c>
      <c r="F39" t="inlineStr">
        <is>
          <t>Lon</t>
        </is>
      </c>
    </row>
    <row r="40">
      <c r="A40" t="inlineStr">
        <is>
          <t>A1</t>
        </is>
      </c>
      <c r="B40" t="inlineStr">
        <is>
          <t>Referentiepunt kust (render 812,5 / 275)</t>
        </is>
      </c>
      <c r="C40" t="n">
        <v>297135</v>
      </c>
      <c r="D40" t="n">
        <v>7650000</v>
      </c>
      <c r="E40" t="n">
        <v>-21.2403293</v>
      </c>
      <c r="F40" t="n">
        <v>-40.9548262</v>
      </c>
    </row>
    <row r="41">
      <c r="A41" t="inlineStr">
        <is>
          <t>A2</t>
        </is>
      </c>
      <c r="B41" t="inlineStr">
        <is>
          <t>Middelpunt vrije draaikom</t>
        </is>
      </c>
      <c r="C41" t="n">
        <v>297352.65</v>
      </c>
      <c r="D41" t="n">
        <v>7649661.36</v>
      </c>
      <c r="E41" t="n">
        <v>-21.2434116</v>
      </c>
      <c r="F41" t="n">
        <v>-40.95277</v>
      </c>
    </row>
    <row r="42">
      <c r="A42" t="inlineStr">
        <is>
          <t>A3</t>
        </is>
      </c>
      <c r="B42" t="inlineStr">
        <is>
          <t>Midden havenmond</t>
        </is>
      </c>
      <c r="C42" t="n">
        <v>299054.7</v>
      </c>
      <c r="D42" t="n">
        <v>7649370.46</v>
      </c>
      <c r="E42" t="n">
        <v>-21.2462275</v>
      </c>
      <c r="F42" t="n">
        <v>-40.9364101</v>
      </c>
    </row>
    <row r="43">
      <c r="A43" t="inlineStr">
        <is>
          <t>A4</t>
        </is>
      </c>
      <c r="B43" t="inlineStr">
        <is>
          <t>Sleepbootkoppelpunt</t>
        </is>
      </c>
      <c r="C43" t="n">
        <v>300533.26</v>
      </c>
      <c r="D43" t="n">
        <v>7649117.76</v>
      </c>
      <c r="E43" t="n">
        <v>-21.2486725</v>
      </c>
      <c r="F43" t="n">
        <v>-40.9221977</v>
      </c>
    </row>
    <row r="44">
      <c r="A44" t="inlineStr">
        <is>
          <t>A5</t>
        </is>
      </c>
      <c r="B44" t="inlineStr">
        <is>
          <t>Eindpunt geul (voorlopig)</t>
        </is>
      </c>
      <c r="C44" t="n">
        <v>308911.77</v>
      </c>
      <c r="D44" t="n">
        <v>7647685.81</v>
      </c>
      <c r="E44" t="n">
        <v>-21.262505</v>
      </c>
      <c r="F44" t="n">
        <v>-40.8416497</v>
      </c>
    </row>
    <row r="45">
      <c r="A45" t="inlineStr">
        <is>
          <t>A6</t>
        </is>
      </c>
      <c r="B45" t="inlineStr">
        <is>
          <t>Wortel noordelijke golfbreker</t>
        </is>
      </c>
      <c r="C45" t="n">
        <v>297202.27</v>
      </c>
      <c r="D45" t="n">
        <v>7650918.75</v>
      </c>
      <c r="E45" t="n">
        <v>-21.2320404</v>
      </c>
      <c r="F45" t="n">
        <v>-40.9540689</v>
      </c>
    </row>
    <row r="46">
      <c r="A46" t="inlineStr">
        <is>
          <t>A7</t>
        </is>
      </c>
      <c r="B46" t="inlineStr">
        <is>
          <t>Wortel zuidelijke golfbreker</t>
        </is>
      </c>
      <c r="C46" t="n">
        <v>296285.1</v>
      </c>
      <c r="D46" t="n">
        <v>7647740.85</v>
      </c>
      <c r="E46" t="n">
        <v>-21.2606345</v>
      </c>
      <c r="F46" t="n">
        <v>-40.9632826</v>
      </c>
    </row>
    <row r="47">
      <c r="A47" t="inlineStr">
        <is>
          <t>A8</t>
        </is>
      </c>
      <c r="B47" t="inlineStr">
        <is>
          <t>Containerkade noordeinde (F1)</t>
        </is>
      </c>
      <c r="C47" t="n">
        <v>295982.49</v>
      </c>
      <c r="D47" t="n">
        <v>7649572.61</v>
      </c>
      <c r="E47" t="n">
        <v>-21.2440597</v>
      </c>
      <c r="F47" t="n">
        <v>-40.9659781</v>
      </c>
    </row>
    <row r="48">
      <c r="A48" t="inlineStr">
        <is>
          <t>A9</t>
        </is>
      </c>
      <c r="B48" t="inlineStr">
        <is>
          <t>Containerkade zuideinde (F3)</t>
        </is>
      </c>
      <c r="C48" t="n">
        <v>295525.07</v>
      </c>
      <c r="D48" t="n">
        <v>7648034.81</v>
      </c>
      <c r="E48" t="n">
        <v>-21.2578946</v>
      </c>
      <c r="F48" t="n">
        <v>-40.9705687</v>
      </c>
    </row>
    <row r="49">
      <c r="A49" t="inlineStr">
        <is>
          <t>A10</t>
        </is>
      </c>
      <c r="B49" t="inlineStr">
        <is>
          <t>LNG-steigerkop</t>
        </is>
      </c>
      <c r="C49" t="n">
        <v>298268.67</v>
      </c>
      <c r="D49" t="n">
        <v>7648742.76</v>
      </c>
      <c r="E49" t="n">
        <v>-21.2518087</v>
      </c>
      <c r="F49" t="n">
        <v>-40.9440557</v>
      </c>
    </row>
    <row r="50">
      <c r="A50" t="inlineStr">
        <is>
          <t>A11</t>
        </is>
      </c>
      <c r="B50" t="inlineStr">
        <is>
          <t>Graankade midden</t>
        </is>
      </c>
      <c r="C50" t="n">
        <v>296296.46</v>
      </c>
      <c r="D50" t="n">
        <v>7650045.75</v>
      </c>
      <c r="E50" t="n">
        <v>-21.2398224</v>
      </c>
      <c r="F50" t="n">
        <v>-40.9628973</v>
      </c>
    </row>
    <row r="51">
      <c r="A51" t="inlineStr">
        <is>
          <t>A12</t>
        </is>
      </c>
      <c r="B51" t="inlineStr">
        <is>
          <t>RoRo-kade midden</t>
        </is>
      </c>
      <c r="C51" t="n">
        <v>295265.72</v>
      </c>
      <c r="D51" t="n">
        <v>7649177.72</v>
      </c>
      <c r="E51" t="n">
        <v>-21.2475449</v>
      </c>
      <c r="F51" t="n">
        <v>-40.9729295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2026-10-22T10:53:51Z</dcterms:created>
  <dcterms:modified xmlns:dcterms="http://purl.org/dc/terms/" xmlns:xsi="http://www.w3.org/2001/XMLSchema-instance" xsi:type="dcterms:W3CDTF">2026-10-22T10:53:51Z</dcterms:modified>
</cp:coreProperties>
</file>