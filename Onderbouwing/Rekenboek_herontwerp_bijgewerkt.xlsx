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19720</v>
      </c>
      <c r="E31" s="32" t="n"/>
      <c r="F31" s="32" t="n"/>
      <c r="G31" s="13" t="inlineStr">
        <is>
          <t>VOORLOPIG</t>
        </is>
      </c>
      <c r="H31" s="13" t="inlineStr">
        <is>
          <t>DO-tekening: 18.000 m buiten de mond (eindpunt A5 nog op -18,2 m MLWS-lijn leggen) + 1.720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2151343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3.960.000 m2 (220 x 18.000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3232056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 en programma</t>
        </is>
      </c>
      <c r="C23" s="1" t="inlineStr">
        <is>
          <t>DO: de vorm van Porto Central is aangehouden (gebogen dammen, ingang naar het OZO, hoofdbekken langs de noordkade, containervinger, tankpark langs de zuidrand), maar er staan alleen functies uit de opdracht in: containers, droge bulk (graan), voertuigen (RoRo), LNG en de centrale. Erts, werf, industrie, supply base, olie en het tweede insteekbekken zijn weggelaten.</t>
        </is>
      </c>
      <c r="D23" s="1" t="inlineStr">
        <is>
          <t>Vastgelegd</t>
        </is>
      </c>
      <c r="E23" s="1" t="inlineStr">
        <is>
          <t>Besluitenlijst B02; vervolg: Geen; eventuele latere uitbreiding apart onderbouwen.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Manoeuvreren met grote schepen</t>
        </is>
      </c>
      <c r="C25" s="1" t="inlineStr">
        <is>
          <t>DO: containerkade aan de oostzijde van de vinger, direct aan de voorhaven. Schepen zwaaien in de draaikom (D 720 m = 2,2 LOA) en verhalen zijwaarts met sleepboten naar de kade: geen bocht buiten de draaikom. Graan- en RoRo-schepen varen met een koerswijziging van 19 gr het hoofdbekken in en verlaten het achteruit of zwaaien vooraf in de draaikom. Draaikom 170 m vrij van afgemeerde schepen; stopweg 1.720 m = 5,1 LOA.</t>
        </is>
      </c>
      <c r="D25" s="1" t="inlineStr">
        <is>
          <t>Verwerkt</t>
        </is>
      </c>
      <c r="E25" s="1" t="inlineStr">
        <is>
          <t>Besluitenlijst B04; vervolg: Toetsen met bochtstralen uit PIANC WG121 en een nautische simulatie met sleepboten.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D26" s="1" t="inlineStr">
        <is>
          <t>Deels open</t>
        </is>
      </c>
      <c r="E26" s="1" t="inlineStr">
        <is>
          <t>Besluitenlijst B05; vervolg: Eindpunt op de -18,2 m MLWS-dieptelijn van de bathymetrie leggen; MLWS-DHN koppelen; geullengte terugzetten in Nautiek D31.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D27" s="1" t="inlineStr">
        <is>
          <t>Verwerkt / QRA open</t>
        </is>
      </c>
      <c r="E27" s="1" t="inlineStr">
        <is>
          <t>Besluitenlijst B06; vervolg: QRA en veiligheidsafstanden; N-1-voorraadbeleid kiezen.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Droge bulk (graan) en RoRo</t>
        </is>
      </c>
      <c r="C28" s="1" t="inlineStr">
        <is>
          <t>DO: graan 30,4 ha en RoRo 30,4 ha naast elkaar aan de noordkade van het hoofdbekken, ieder een kade van 300 m, eigen poort aan de noordweg; graansilo met transportband, RoRo-ramp.</t>
        </is>
      </c>
      <c r="D28" s="1" t="inlineStr">
        <is>
          <t>Verwerkt</t>
        </is>
      </c>
      <c r="E28" s="1" t="inlineStr">
        <is>
          <t>Besluitenlijst B07; vervolg: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fase 1 aan de noordkop (C1-C2), de kade groeit zuidwaarts langs de voorhaven; gebaggerd 87,0 / 100,7 / 114,3 ha (hoofdbekken + ligplaatsstroken).</t>
        </is>
      </c>
      <c r="D29" s="1" t="inlineStr">
        <is>
          <t>Verwerkt</t>
        </is>
      </c>
      <c r="E29" s="1" t="inlineStr">
        <is>
          <t>Besluitenlijst B08; vervolg: Bouwmethode uitbreiding naast werkende kade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43,5 ha naast de LNG-zone langs de zuidrand; gasleiding naar het regionale net; koelwater indicatief.</t>
        </is>
      </c>
      <c r="D30" s="1" t="inlineStr">
        <is>
          <t>Reservering</t>
        </is>
      </c>
      <c r="E30" s="1" t="inlineStr">
        <is>
          <t>Besluitenlijst B09; vervolg: Vermogen/proceskeuze vaststellen; recirculatie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noordweg langs graan, RoRo en havendienst; zuidweg langs containerterrein, LNG en centrale; beide aangesloten op het regionale net aan de westzijde, met spoor.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2.151.343 m2, geul buiten de mond 3.960.000 m2, terreinophoging 3.232.056 m2 ingevuld; ontwerpbodem als LandXML-oppervlak voor Civil 3D.</t>
        </is>
      </c>
      <c r="D33" s="1" t="inlineStr">
        <is>
          <t>Deels open</t>
        </is>
      </c>
      <c r="E33" s="1" t="inlineStr">
        <is>
          <t>Besluitenlijst B12; vervolg: Bathymetrie als Civil 3D-oppervlak inlezen en volume tegen Ontwerpbodem_DO berekenen;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18000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19720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170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220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1720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802.1921820132022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1203.288273019349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1604.384364026388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30.4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30.4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LNG-ligplaatsenvelop</t>
        </is>
      </c>
      <c r="B23" t="inlineStr">
        <is>
          <t>m</t>
        </is>
      </c>
      <c r="C23" t="n">
        <v>400</v>
      </c>
      <c r="D23" t="n">
        <v>400</v>
      </c>
      <c r="E23" t="inlineStr">
        <is>
          <t>tekenbrief</t>
        </is>
      </c>
      <c r="F23" t="inlineStr">
        <is>
          <t>dolphins indicatief</t>
        </is>
      </c>
    </row>
    <row r="24">
      <c r="A24" t="inlineStr">
        <is>
          <t>LNG-envelop tot draaikom</t>
        </is>
      </c>
      <c r="B24" t="inlineStr">
        <is>
          <t>m</t>
        </is>
      </c>
      <c r="C24" t="n">
        <v>561</v>
      </c>
      <c r="D24" t="inlineStr">
        <is>
          <t>&gt;0</t>
        </is>
      </c>
      <c r="E24" t="inlineStr"/>
      <c r="F24" t="inlineStr">
        <is>
          <t>vrij; QRA volgt</t>
        </is>
      </c>
    </row>
    <row r="25">
      <c r="A25" t="inlineStr">
        <is>
          <t>LNG-tanks tot containerterrein</t>
        </is>
      </c>
      <c r="B25" t="inlineStr">
        <is>
          <t>m</t>
        </is>
      </c>
      <c r="C25" t="n">
        <v>296</v>
      </c>
      <c r="E25" t="inlineStr"/>
      <c r="F25" t="inlineStr">
        <is>
          <t>QRA volgt</t>
        </is>
      </c>
    </row>
    <row r="26">
      <c r="A26" t="inlineStr">
        <is>
          <t>LNG-zone (tanks + hervergassing)</t>
        </is>
      </c>
      <c r="B26" t="inlineStr">
        <is>
          <t>ha</t>
        </is>
      </c>
      <c r="C26" t="n">
        <v>31.9</v>
      </c>
      <c r="E26" t="inlineStr">
        <is>
          <t>Invoer D51-D52</t>
        </is>
      </c>
      <c r="F26" t="inlineStr">
        <is>
          <t>3 tanks + optie 4e</t>
        </is>
      </c>
    </row>
    <row r="27">
      <c r="A27" t="inlineStr">
        <is>
          <t>Centrale + utilities (reservering)</t>
        </is>
      </c>
      <c r="B27" t="inlineStr">
        <is>
          <t>ha</t>
        </is>
      </c>
      <c r="C27" t="n">
        <v>43.5</v>
      </c>
      <c r="E27" t="inlineStr">
        <is>
          <t>geen vast oppervlak</t>
        </is>
      </c>
      <c r="F27" t="inlineStr">
        <is>
          <t>reservering</t>
        </is>
      </c>
    </row>
    <row r="28">
      <c r="A28" t="inlineStr">
        <is>
          <t>Havendiensten / sleepboten</t>
        </is>
      </c>
      <c r="B28" t="inlineStr">
        <is>
          <t>ha</t>
        </is>
      </c>
      <c r="C28" t="n">
        <v>43</v>
      </c>
      <c r="E28" t="inlineStr"/>
      <c r="F28" t="inlineStr">
        <is>
          <t>reservering</t>
        </is>
      </c>
    </row>
    <row r="29">
      <c r="A29" t="inlineStr">
        <is>
          <t>Vrije breedte hoofdbekken met schip aan de kade</t>
        </is>
      </c>
      <c r="B29" t="inlineStr">
        <is>
          <t>m</t>
        </is>
      </c>
      <c r="C29" t="n">
        <v>329</v>
      </c>
      <c r="D29" t="n">
        <v>220</v>
      </c>
      <c r="E29" t="inlineStr"/>
      <c r="F29" t="inlineStr">
        <is>
          <t>voldoet</t>
        </is>
      </c>
    </row>
    <row r="30">
      <c r="A30" t="inlineStr">
        <is>
          <t>Binnenbekken gebaggerd fase 1</t>
        </is>
      </c>
      <c r="B30" t="inlineStr">
        <is>
          <t>m2</t>
        </is>
      </c>
      <c r="C30" t="n">
        <v>869756</v>
      </c>
      <c r="E30" t="inlineStr"/>
      <c r="F30" t="inlineStr"/>
    </row>
    <row r="31">
      <c r="A31" t="inlineStr">
        <is>
          <t>Binnenbekken gebaggerd fase 2 (cumulatief)</t>
        </is>
      </c>
      <c r="B31" t="inlineStr">
        <is>
          <t>m2</t>
        </is>
      </c>
      <c r="C31" t="n">
        <v>1006559</v>
      </c>
      <c r="E31" t="inlineStr"/>
      <c r="F31" t="inlineStr"/>
    </row>
    <row r="32">
      <c r="A32" t="inlineStr">
        <is>
          <t>Binnenbekken gebaggerd fase 3 (cumulatief)</t>
        </is>
      </c>
      <c r="B32" t="inlineStr">
        <is>
          <t>m2</t>
        </is>
      </c>
      <c r="C32" t="n">
        <v>1143362</v>
      </c>
      <c r="E32" t="inlineStr"/>
      <c r="F32" t="inlineStr"/>
    </row>
    <row r="33">
      <c r="A33" t="inlineStr">
        <is>
          <t>Voorhaven + LNG-insteek gebaggerd</t>
        </is>
      </c>
      <c r="B33" t="inlineStr">
        <is>
          <t>m2</t>
        </is>
      </c>
      <c r="C33" t="n">
        <v>1007981</v>
      </c>
      <c r="E33" t="inlineStr"/>
      <c r="F33" t="inlineStr"/>
    </row>
    <row r="34">
      <c r="A34" t="inlineStr">
        <is>
          <t>Havenbekken totaal (zone 1)</t>
        </is>
      </c>
      <c r="B34" t="inlineStr">
        <is>
          <t>m2</t>
        </is>
      </c>
      <c r="C34" t="n">
        <v>2151343</v>
      </c>
      <c r="E34" t="inlineStr">
        <is>
          <t>Grondwerk C6</t>
        </is>
      </c>
      <c r="F34" t="inlineStr">
        <is>
          <t>ingevuld</t>
        </is>
      </c>
    </row>
    <row r="35">
      <c r="A35" t="inlineStr">
        <is>
          <t>Geul buiten de mond (zone 2 + 3)</t>
        </is>
      </c>
      <c r="B35" t="inlineStr">
        <is>
          <t>m2</t>
        </is>
      </c>
      <c r="C35" t="n">
        <v>3960000</v>
      </c>
      <c r="E35" t="inlineStr">
        <is>
          <t>Grondwerk C7 + C8</t>
        </is>
      </c>
      <c r="F35" t="inlineStr">
        <is>
          <t>splitsing open</t>
        </is>
      </c>
    </row>
    <row r="36">
      <c r="A36" t="inlineStr">
        <is>
          <t>Terreinophoging (terminals, LNG, centrale, havendienst)</t>
        </is>
      </c>
      <c r="B36" t="inlineStr">
        <is>
          <t>m2</t>
        </is>
      </c>
      <c r="C36" t="n">
        <v>3232056</v>
      </c>
      <c r="E36" t="inlineStr">
        <is>
          <t>Grondwerk D21</t>
        </is>
      </c>
      <c r="F36" t="inlineStr">
        <is>
          <t>ingevuld</t>
        </is>
      </c>
    </row>
    <row r="38">
      <c r="A38" t="inlineStr">
        <is>
          <t>Punt</t>
        </is>
      </c>
      <c r="B38" t="inlineStr">
        <is>
          <t>Omschrijving</t>
        </is>
      </c>
      <c r="C38" t="inlineStr">
        <is>
          <t>E (m)</t>
        </is>
      </c>
      <c r="D38" t="inlineStr">
        <is>
          <t>N (m)</t>
        </is>
      </c>
      <c r="E38" t="inlineStr">
        <is>
          <t>Lat</t>
        </is>
      </c>
      <c r="F38" t="inlineStr">
        <is>
          <t>Lon</t>
        </is>
      </c>
    </row>
    <row r="39">
      <c r="A39" t="inlineStr">
        <is>
          <t>A1</t>
        </is>
      </c>
      <c r="B39" t="inlineStr">
        <is>
          <t>Referentiepunt kust (render 812,5 / 275)</t>
        </is>
      </c>
      <c r="C39" t="n">
        <v>297135</v>
      </c>
      <c r="D39" t="n">
        <v>7650000</v>
      </c>
      <c r="E39" t="n">
        <v>-21.2403293</v>
      </c>
      <c r="F39" t="n">
        <v>-40.9548262</v>
      </c>
    </row>
    <row r="40">
      <c r="A40" t="inlineStr">
        <is>
          <t>A2</t>
        </is>
      </c>
      <c r="B40" t="inlineStr">
        <is>
          <t>Middelpunt vrije draaikom</t>
        </is>
      </c>
      <c r="C40" t="n">
        <v>297534.6</v>
      </c>
      <c r="D40" t="n">
        <v>7649611.92</v>
      </c>
      <c r="E40" t="n">
        <v>-21.2438783</v>
      </c>
      <c r="F40" t="n">
        <v>-40.9510234</v>
      </c>
    </row>
    <row r="41">
      <c r="A41" t="inlineStr">
        <is>
          <t>A3</t>
        </is>
      </c>
      <c r="B41" t="inlineStr">
        <is>
          <t>Midden havenmond</t>
        </is>
      </c>
      <c r="C41" t="n">
        <v>299233.15</v>
      </c>
      <c r="D41" t="n">
        <v>7649340.79</v>
      </c>
      <c r="E41" t="n">
        <v>-21.2465152</v>
      </c>
      <c r="F41" t="n">
        <v>-40.9346946</v>
      </c>
    </row>
    <row r="42">
      <c r="A42" t="inlineStr">
        <is>
          <t>A4</t>
        </is>
      </c>
      <c r="B42" t="inlineStr">
        <is>
          <t>Sleepbootkoppelpunt</t>
        </is>
      </c>
      <c r="C42" t="n">
        <v>300714.4</v>
      </c>
      <c r="D42" t="n">
        <v>7649104.35</v>
      </c>
      <c r="E42" t="n">
        <v>-21.2488135</v>
      </c>
      <c r="F42" t="n">
        <v>-40.9204543</v>
      </c>
    </row>
    <row r="43">
      <c r="A43" t="inlineStr">
        <is>
          <t>A5</t>
        </is>
      </c>
      <c r="B43" t="inlineStr">
        <is>
          <t>Eindpunt geul (voorlopig)</t>
        </is>
      </c>
      <c r="C43" t="n">
        <v>317008.13</v>
      </c>
      <c r="D43" t="n">
        <v>7646503.5</v>
      </c>
      <c r="E43" t="n">
        <v>-21.274017</v>
      </c>
      <c r="F43" t="n">
        <v>-40.7637753</v>
      </c>
    </row>
    <row r="44">
      <c r="A44" t="inlineStr">
        <is>
          <t>A6</t>
        </is>
      </c>
      <c r="B44" t="inlineStr">
        <is>
          <t>Wortel noordelijke golfbreker</t>
        </is>
      </c>
      <c r="C44" t="n">
        <v>297202.27</v>
      </c>
      <c r="D44" t="n">
        <v>7650918.75</v>
      </c>
      <c r="E44" t="n">
        <v>-21.2320404</v>
      </c>
      <c r="F44" t="n">
        <v>-40.9540689</v>
      </c>
    </row>
    <row r="45">
      <c r="A45" t="inlineStr">
        <is>
          <t>A7</t>
        </is>
      </c>
      <c r="B45" t="inlineStr">
        <is>
          <t>Wortel zuidelijke golfbreker</t>
        </is>
      </c>
      <c r="C45" t="n">
        <v>296285.1</v>
      </c>
      <c r="D45" t="n">
        <v>7647740.85</v>
      </c>
      <c r="E45" t="n">
        <v>-21.2606345</v>
      </c>
      <c r="F45" t="n">
        <v>-40.9632826</v>
      </c>
    </row>
    <row r="46">
      <c r="A46" t="inlineStr">
        <is>
          <t>A8</t>
        </is>
      </c>
      <c r="B46" t="inlineStr">
        <is>
          <t>Containerkade noordeinde</t>
        </is>
      </c>
      <c r="C46" t="n">
        <v>296970.74</v>
      </c>
      <c r="D46" t="n">
        <v>7649746.86</v>
      </c>
      <c r="E46" t="n">
        <v>-21.2425969</v>
      </c>
      <c r="F46" t="n">
        <v>-40.9564384</v>
      </c>
    </row>
    <row r="47">
      <c r="A47" t="inlineStr">
        <is>
          <t>A9</t>
        </is>
      </c>
      <c r="B47" t="inlineStr">
        <is>
          <t>Containerkade zuideinde</t>
        </is>
      </c>
      <c r="C47" t="n">
        <v>296513.33</v>
      </c>
      <c r="D47" t="n">
        <v>7648209.06</v>
      </c>
      <c r="E47" t="n">
        <v>-21.2564321</v>
      </c>
      <c r="F47" t="n">
        <v>-40.9610281</v>
      </c>
    </row>
    <row r="48">
      <c r="A48" t="inlineStr">
        <is>
          <t>A10</t>
        </is>
      </c>
      <c r="B48" t="inlineStr">
        <is>
          <t>LNG-steigerkop</t>
        </is>
      </c>
      <c r="C48" t="n">
        <v>298268.67</v>
      </c>
      <c r="D48" t="n">
        <v>7648742.76</v>
      </c>
      <c r="E48" t="n">
        <v>-21.2518087</v>
      </c>
      <c r="F48" t="n">
        <v>-40.9440557</v>
      </c>
    </row>
    <row r="49">
      <c r="A49" t="inlineStr">
        <is>
          <t>A11</t>
        </is>
      </c>
      <c r="B49" t="inlineStr">
        <is>
          <t>Graankade midden</t>
        </is>
      </c>
      <c r="C49" t="n">
        <v>296296.46</v>
      </c>
      <c r="D49" t="n">
        <v>7650045.75</v>
      </c>
      <c r="E49" t="n">
        <v>-21.2398224</v>
      </c>
      <c r="F49" t="n">
        <v>-40.9628973</v>
      </c>
    </row>
    <row r="50">
      <c r="A50" t="inlineStr">
        <is>
          <t>A12</t>
        </is>
      </c>
      <c r="B50" t="inlineStr">
        <is>
          <t>RoRo-kade midden</t>
        </is>
      </c>
      <c r="C50" t="n">
        <v>295762.81</v>
      </c>
      <c r="D50" t="n">
        <v>7649951.65</v>
      </c>
      <c r="E50" t="n">
        <v>-21.2406122</v>
      </c>
      <c r="F50" t="n">
        <v>-40.9680487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2026-10-22T11:20:26Z</dcterms:created>
  <dcterms:modified xmlns:dcterms="http://purl.org/dc/terms/" xmlns:xsi="http://www.w3.org/2001/XMLSchema-instance" xsi:type="dcterms:W3CDTF">2026-10-22T11:20:26Z</dcterms:modified>
</cp:coreProperties>
</file>