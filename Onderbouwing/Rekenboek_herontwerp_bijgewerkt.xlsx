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11700</v>
      </c>
      <c r="E31" s="32" t="n"/>
      <c r="F31" s="32" t="n"/>
      <c r="G31" s="13" t="inlineStr">
        <is>
          <t>VOORLOPIG</t>
        </is>
      </c>
      <c r="H31" s="13" t="inlineStr">
        <is>
          <t>DO-tekening: 10.000 m buiten de mond (eindpunt A5 nog op -18,2 m MLWS-lijn leggen) + 1.700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2192085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2.200.000 m2 (220 x 10.000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3079000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Havenmond</t>
        </is>
      </c>
      <c r="C23" s="1" t="inlineStr">
        <is>
          <t>DO: dammen verlegd, 350 m vrij tussen de golfbrekerfootprints (90 m breed).</t>
        </is>
      </c>
      <c r="D23" s="1" t="inlineStr">
        <is>
          <t>Verwerkt</t>
        </is>
      </c>
      <c r="E23" s="1" t="inlineStr">
        <is>
          <t>Besluitenlijst B02; vervolg: Na golfbrekerontwerp (kruin, taluds) footprint en vrije breedte opnieuw meten.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Draaikom en stopweg</t>
        </is>
      </c>
      <c r="C24" s="1" t="inlineStr">
        <is>
          <t>DO: middelpunt 450 m uit de kust, mond op 2.150 m: stopweg 1.700 m = 5,1 LOA; draaikom 687 m vrij van afgemeerde schepen en 281 m van kades/dammen.</t>
        </is>
      </c>
      <c r="D24" s="1" t="inlineStr">
        <is>
          <t>Verwerkt</t>
        </is>
      </c>
      <c r="E24" s="1" t="inlineStr">
        <is>
          <t>Besluitenlijst B03; vervolg: Nautische (simulator)toets met sleepboten.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Toegangsgeul</t>
        </is>
      </c>
      <c r="C25" s="1" t="inlineStr">
        <is>
          <t>DO: rechte geul, 220 m bodembreedte, -18,20 m MLWS, as in het verlengde van de havenas. Lengte buiten de mond voorlopig 10.000 m.</t>
        </is>
      </c>
      <c r="D25" s="1" t="inlineStr">
        <is>
          <t>Deels open</t>
        </is>
      </c>
      <c r="E25" s="1" t="inlineStr">
        <is>
          <t>Besluitenlijst B04; vervolg: Eindpunt op de -18,2 m MLWS-dieptelijn van de bathymetrische kaart leggen; MLWS-DHN koppelen; geullengte terugzetten in Nautiek D31.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Sleepbootkoppelpunt</t>
        </is>
      </c>
      <c r="C26" s="1" t="inlineStr">
        <is>
          <t>DO: koppelpunt op de geulas, 1.500 m buiten de mond (A4).</t>
        </is>
      </c>
      <c r="D26" s="1" t="inlineStr">
        <is>
          <t>Verwerkt</t>
        </is>
      </c>
      <c r="E26" s="1" t="inlineStr">
        <is>
          <t>Besluitenlijst B05; vervolg: Bevestigen met loods/sleepdienst en golfklimaat (werkbaarheid).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LNG-steiger aan de lijzijde van de zuidelijke dam in eigen insteek, 762 m vrij van de draaikom; tankzone 25 ha met 3 x 180.000 m3 en ruimte voor een 4e tank; 291 m tot RoRo-terrein.</t>
        </is>
      </c>
      <c r="D27" s="1" t="inlineStr">
        <is>
          <t>Verwerkt / QRA open</t>
        </is>
      </c>
      <c r="E27" s="1" t="inlineStr">
        <is>
          <t>Besluitenlijst B06; vervolg: QRA en veiligheidsafstanden; N-1-voorraadbeleid kiezen (4e tank of kleiner buffer).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Graan en RoRo</t>
        </is>
      </c>
      <c r="C28" s="1" t="inlineStr">
        <is>
          <t>DO: ieder 30 ha (500 x 600 m) met eigen kade van 300 m, eigen inrit; weg en spoor achter de percelen.</t>
        </is>
      </c>
      <c r="D28" s="1" t="inlineStr">
        <is>
          <t>Verwerkt</t>
        </is>
      </c>
      <c r="E28" s="1" t="inlineStr">
        <is>
          <t>Besluitenlijst B07; vervolg: Ramp- en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fase 1 bij de ingang; binnenbekken in drie stappen (72,0 / 81,0 / 105,8 ha); uitbreiding aan het doodlopende eind, geen vaarwegblokkade.</t>
        </is>
      </c>
      <c r="D29" s="1" t="inlineStr">
        <is>
          <t>Verwerkt</t>
        </is>
      </c>
      <c r="E29" s="1" t="inlineStr">
        <is>
          <t>Besluitenlijst B08; vervolg: Bouwmethode uitbreiding naast werkende kade (damwand/kistdam)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49,5 ha naast de LNG-zone; koelwaterinlaat in de voorhaven en uitlaat buiten de zuidelijke dam (indicatief).</t>
        </is>
      </c>
      <c r="D30" s="1" t="inlineStr">
        <is>
          <t>Reservering</t>
        </is>
      </c>
      <c r="E30" s="1" t="inlineStr">
        <is>
          <t>Besluitenlijst B09; vervolg: Vermogen/proceskeuze vaststellen; recirculatie en temperatuur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hoofdweg + spoor in corridor aan de westzijde, takken achter de terminalpercelen met aparte poorten.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2.192.085 m2, geul buiten de mond 2.200.000 m2, terreinophoging 3.079.000 m2 ingevuld.</t>
        </is>
      </c>
      <c r="D33" s="1" t="inlineStr">
        <is>
          <t>Deels open</t>
        </is>
      </c>
      <c r="E33" s="1" t="inlineStr">
        <is>
          <t>Besluitenlijst B12; vervolg: Bestaande diepten/hoogten uit bathymetrie en hoogtemodel invoeren;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10000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11700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687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281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1700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800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1200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1600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LNG-ligplaatsenvelop</t>
        </is>
      </c>
      <c r="B23" t="inlineStr">
        <is>
          <t>m</t>
        </is>
      </c>
      <c r="C23" t="n">
        <v>400</v>
      </c>
      <c r="D23" t="n">
        <v>400</v>
      </c>
      <c r="E23" t="inlineStr">
        <is>
          <t>tekenbrief</t>
        </is>
      </c>
      <c r="F23" t="inlineStr">
        <is>
          <t>dolphins indicatief</t>
        </is>
      </c>
    </row>
    <row r="24">
      <c r="A24" t="inlineStr">
        <is>
          <t>LNG-envelop tot draaikom</t>
        </is>
      </c>
      <c r="B24" t="inlineStr">
        <is>
          <t>m</t>
        </is>
      </c>
      <c r="C24" t="n">
        <v>762</v>
      </c>
      <c r="D24" t="inlineStr">
        <is>
          <t>&gt;0</t>
        </is>
      </c>
      <c r="E24" t="inlineStr"/>
      <c r="F24" t="inlineStr">
        <is>
          <t>vrij; QRA volgt</t>
        </is>
      </c>
    </row>
    <row r="25">
      <c r="A25" t="inlineStr">
        <is>
          <t>LNG-zone (tanks + hervergassing)</t>
        </is>
      </c>
      <c r="B25" t="inlineStr">
        <is>
          <t>ha</t>
        </is>
      </c>
      <c r="C25" t="n">
        <v>25</v>
      </c>
      <c r="E25" t="inlineStr">
        <is>
          <t>Invoer D51-D52</t>
        </is>
      </c>
      <c r="F25" t="inlineStr">
        <is>
          <t>3 tanks + optie 4e</t>
        </is>
      </c>
    </row>
    <row r="26">
      <c r="A26" t="inlineStr">
        <is>
          <t>Centrale + utilities (reservering)</t>
        </is>
      </c>
      <c r="B26" t="inlineStr">
        <is>
          <t>ha</t>
        </is>
      </c>
      <c r="C26" t="n">
        <v>49.5</v>
      </c>
      <c r="E26" t="inlineStr">
        <is>
          <t>geen vast oppervlak</t>
        </is>
      </c>
      <c r="F26" t="inlineStr">
        <is>
          <t>reservering</t>
        </is>
      </c>
    </row>
    <row r="27">
      <c r="A27" t="inlineStr">
        <is>
          <t>Havendiensten / sleepboten</t>
        </is>
      </c>
      <c r="B27" t="inlineStr">
        <is>
          <t>ha</t>
        </is>
      </c>
      <c r="C27" t="n">
        <v>29.4</v>
      </c>
      <c r="E27" t="inlineStr"/>
      <c r="F27" t="inlineStr">
        <is>
          <t>reservering</t>
        </is>
      </c>
    </row>
    <row r="28">
      <c r="A28" t="inlineStr">
        <is>
          <t>Reserveterreinen</t>
        </is>
      </c>
      <c r="B28" t="inlineStr">
        <is>
          <t>ha</t>
        </is>
      </c>
      <c r="C28" t="n">
        <v>161.1</v>
      </c>
      <c r="E28" t="inlineStr"/>
      <c r="F28" t="inlineStr">
        <is>
          <t>reservering</t>
        </is>
      </c>
    </row>
    <row r="29">
      <c r="A29" t="inlineStr">
        <is>
          <t>Vrije breedte binnenbekken (schepen aan beide zijden)</t>
        </is>
      </c>
      <c r="B29" t="inlineStr">
        <is>
          <t>m</t>
        </is>
      </c>
      <c r="C29" t="n">
        <v>354</v>
      </c>
      <c r="D29" t="n">
        <v>220</v>
      </c>
      <c r="E29" t="inlineStr"/>
      <c r="F29" t="inlineStr">
        <is>
          <t>voldoet</t>
        </is>
      </c>
    </row>
    <row r="30">
      <c r="A30" t="inlineStr">
        <is>
          <t>Binnenbekken gebaggerd fase 1</t>
        </is>
      </c>
      <c r="B30" t="inlineStr">
        <is>
          <t>m2</t>
        </is>
      </c>
      <c r="C30" t="n">
        <v>720000</v>
      </c>
      <c r="E30" t="inlineStr"/>
      <c r="F30" t="inlineStr"/>
    </row>
    <row r="31">
      <c r="A31" t="inlineStr">
        <is>
          <t>Binnenbekken gebaggerd fase 2 (cumulatief)</t>
        </is>
      </c>
      <c r="B31" t="inlineStr">
        <is>
          <t>m2</t>
        </is>
      </c>
      <c r="C31" t="n">
        <v>810000</v>
      </c>
      <c r="E31" t="inlineStr"/>
      <c r="F31" t="inlineStr"/>
    </row>
    <row r="32">
      <c r="A32" t="inlineStr">
        <is>
          <t>Binnenbekken gebaggerd fase 3 (cumulatief)</t>
        </is>
      </c>
      <c r="B32" t="inlineStr">
        <is>
          <t>m2</t>
        </is>
      </c>
      <c r="C32" t="n">
        <v>1057500</v>
      </c>
      <c r="E32" t="inlineStr"/>
      <c r="F32" t="inlineStr"/>
    </row>
    <row r="33">
      <c r="A33" t="inlineStr">
        <is>
          <t>Voorhaven + LNG-insteek gebaggerd</t>
        </is>
      </c>
      <c r="B33" t="inlineStr">
        <is>
          <t>m2</t>
        </is>
      </c>
      <c r="C33" t="n">
        <v>1134585</v>
      </c>
      <c r="E33" t="inlineStr"/>
      <c r="F33" t="inlineStr"/>
    </row>
    <row r="34">
      <c r="A34" t="inlineStr">
        <is>
          <t>Havenbekken totaal (zone 1)</t>
        </is>
      </c>
      <c r="B34" t="inlineStr">
        <is>
          <t>m2</t>
        </is>
      </c>
      <c r="C34" t="n">
        <v>2192085</v>
      </c>
      <c r="E34" t="inlineStr">
        <is>
          <t>Grondwerk C6</t>
        </is>
      </c>
      <c r="F34" t="inlineStr">
        <is>
          <t>ingevuld</t>
        </is>
      </c>
    </row>
    <row r="35">
      <c r="A35" t="inlineStr">
        <is>
          <t>Geul buiten de mond (zone 2 + 3)</t>
        </is>
      </c>
      <c r="B35" t="inlineStr">
        <is>
          <t>m2</t>
        </is>
      </c>
      <c r="C35" t="n">
        <v>2200000</v>
      </c>
      <c r="E35" t="inlineStr">
        <is>
          <t>Grondwerk C7 + C8</t>
        </is>
      </c>
      <c r="F35" t="inlineStr">
        <is>
          <t>splitsing open</t>
        </is>
      </c>
    </row>
    <row r="36">
      <c r="A36" t="inlineStr">
        <is>
          <t>Terreinophoging (terminals, LNG, centrale, havendienst)</t>
        </is>
      </c>
      <c r="B36" t="inlineStr">
        <is>
          <t>m2</t>
        </is>
      </c>
      <c r="C36" t="n">
        <v>3079000</v>
      </c>
      <c r="E36" t="inlineStr">
        <is>
          <t>Grondwerk D21</t>
        </is>
      </c>
      <c r="F36" t="inlineStr">
        <is>
          <t>ingevuld</t>
        </is>
      </c>
    </row>
    <row r="38">
      <c r="A38" t="inlineStr">
        <is>
          <t>Punt</t>
        </is>
      </c>
      <c r="B38" t="inlineStr">
        <is>
          <t>Omschrijving</t>
        </is>
      </c>
      <c r="C38" t="inlineStr">
        <is>
          <t>E (m)</t>
        </is>
      </c>
      <c r="D38" t="inlineStr">
        <is>
          <t>N (m)</t>
        </is>
      </c>
      <c r="E38" t="inlineStr">
        <is>
          <t>Lat</t>
        </is>
      </c>
      <c r="F38" t="inlineStr">
        <is>
          <t>Lon</t>
        </is>
      </c>
    </row>
    <row r="39">
      <c r="A39" t="inlineStr">
        <is>
          <t>A1</t>
        </is>
      </c>
      <c r="B39" t="inlineStr">
        <is>
          <t>Kustpunt havenas (waterlijn)</t>
        </is>
      </c>
      <c r="C39" t="n">
        <v>297135</v>
      </c>
      <c r="D39" t="n">
        <v>7650000</v>
      </c>
      <c r="E39" t="n">
        <v>-21.2403293</v>
      </c>
      <c r="F39" t="n">
        <v>-40.9548262</v>
      </c>
    </row>
    <row r="40">
      <c r="A40" t="inlineStr">
        <is>
          <t>A2</t>
        </is>
      </c>
      <c r="B40" t="inlineStr">
        <is>
          <t>Middelpunt vrije draaikom</t>
        </is>
      </c>
      <c r="C40" t="n">
        <v>297557.86</v>
      </c>
      <c r="D40" t="n">
        <v>7649846.09</v>
      </c>
      <c r="E40" t="n">
        <v>-21.2417663</v>
      </c>
      <c r="F40" t="n">
        <v>-40.9507715</v>
      </c>
    </row>
    <row r="41">
      <c r="A41" t="inlineStr">
        <is>
          <t>A3</t>
        </is>
      </c>
      <c r="B41" t="inlineStr">
        <is>
          <t>Midden havenmond</t>
        </is>
      </c>
      <c r="C41" t="n">
        <v>299155.34</v>
      </c>
      <c r="D41" t="n">
        <v>7649264.66</v>
      </c>
      <c r="E41" t="n">
        <v>-21.2471941</v>
      </c>
      <c r="F41" t="n">
        <v>-40.9354532</v>
      </c>
    </row>
    <row r="42">
      <c r="A42" t="inlineStr">
        <is>
          <t>A4</t>
        </is>
      </c>
      <c r="B42" t="inlineStr">
        <is>
          <t>Sleepbootkoppelpunt</t>
        </is>
      </c>
      <c r="C42" t="n">
        <v>300564.88</v>
      </c>
      <c r="D42" t="n">
        <v>7648751.63</v>
      </c>
      <c r="E42" t="n">
        <v>-21.2519822</v>
      </c>
      <c r="F42" t="n">
        <v>-40.921936</v>
      </c>
    </row>
    <row r="43">
      <c r="A43" t="inlineStr">
        <is>
          <t>A5</t>
        </is>
      </c>
      <c r="B43" t="inlineStr">
        <is>
          <t>Eindpunt geul (voorlopig)</t>
        </is>
      </c>
      <c r="C43" t="n">
        <v>308552.27</v>
      </c>
      <c r="D43" t="n">
        <v>7645844.46</v>
      </c>
      <c r="E43" t="n">
        <v>-21.2790957</v>
      </c>
      <c r="F43" t="n">
        <v>-40.8453204</v>
      </c>
    </row>
    <row r="44">
      <c r="A44" t="inlineStr">
        <is>
          <t>A6</t>
        </is>
      </c>
      <c r="B44" t="inlineStr">
        <is>
          <t>Wortel noordelijke golfbreker</t>
        </is>
      </c>
      <c r="C44" t="n">
        <v>297540.35</v>
      </c>
      <c r="D44" t="n">
        <v>7651289.11</v>
      </c>
      <c r="E44" t="n">
        <v>-21.2287338</v>
      </c>
      <c r="F44" t="n">
        <v>-40.9507688</v>
      </c>
    </row>
    <row r="45">
      <c r="A45" t="inlineStr">
        <is>
          <t>A7</t>
        </is>
      </c>
      <c r="B45" t="inlineStr">
        <is>
          <t>Wortel zuidelijke golfbreker</t>
        </is>
      </c>
      <c r="C45" t="n">
        <v>296514.29</v>
      </c>
      <c r="D45" t="n">
        <v>7648470.03</v>
      </c>
      <c r="E45" t="n">
        <v>-21.2540757</v>
      </c>
      <c r="F45" t="n">
        <v>-40.9609876</v>
      </c>
    </row>
    <row r="46">
      <c r="A46" t="inlineStr">
        <is>
          <t>A8</t>
        </is>
      </c>
      <c r="B46" t="inlineStr">
        <is>
          <t>Containerkade begin (F1)</t>
        </is>
      </c>
      <c r="C46" t="n">
        <v>296695.12</v>
      </c>
      <c r="D46" t="n">
        <v>7650399.54</v>
      </c>
      <c r="E46" t="n">
        <v>-21.2366723</v>
      </c>
      <c r="F46" t="n">
        <v>-40.9590153</v>
      </c>
    </row>
    <row r="47">
      <c r="A47" t="inlineStr">
        <is>
          <t>A9</t>
        </is>
      </c>
      <c r="B47" t="inlineStr">
        <is>
          <t>Containerkade eind (F3)</t>
        </is>
      </c>
      <c r="C47" t="n">
        <v>295191.62</v>
      </c>
      <c r="D47" t="n">
        <v>7650946.77</v>
      </c>
      <c r="E47" t="n">
        <v>-21.2315619</v>
      </c>
      <c r="F47" t="n">
        <v>-40.9734306</v>
      </c>
    </row>
    <row r="48">
      <c r="A48" t="inlineStr">
        <is>
          <t>A10</t>
        </is>
      </c>
      <c r="B48" t="inlineStr">
        <is>
          <t>Midden LNG-ligplaats</t>
        </is>
      </c>
      <c r="C48" t="n">
        <v>297545.53</v>
      </c>
      <c r="D48" t="n">
        <v>7648584.21</v>
      </c>
      <c r="E48" t="n">
        <v>-21.2531599</v>
      </c>
      <c r="F48" t="n">
        <v>-40.9510404</v>
      </c>
    </row>
    <row r="49">
      <c r="A49" t="inlineStr">
        <is>
          <t>A11</t>
        </is>
      </c>
      <c r="B49" t="inlineStr">
        <is>
          <t>Eind binnenbekken</t>
        </is>
      </c>
      <c r="C49" t="n">
        <v>294926.72</v>
      </c>
      <c r="D49" t="n">
        <v>7650803.75</v>
      </c>
      <c r="E49" t="n">
        <v>-21.2328236</v>
      </c>
      <c r="F49" t="n">
        <v>-40.9759991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2026-10-22T10:14:48Z</dcterms:created>
  <dcterms:modified xmlns:dcterms="http://purl.org/dc/terms/" xmlns:xsi="http://www.w3.org/2001/XMLSchema-instance" xsi:type="dcterms:W3CDTF">2026-10-22T10:14:48Z</dcterms:modified>
</cp:coreProperties>
</file>