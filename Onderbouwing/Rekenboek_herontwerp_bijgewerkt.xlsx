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11700</v>
      </c>
      <c r="E31" s="32" t="n"/>
      <c r="F31" s="32" t="n"/>
      <c r="G31" s="13" t="inlineStr">
        <is>
          <t>VOORLOPIG</t>
        </is>
      </c>
      <c r="H31" s="13" t="inlineStr">
        <is>
          <t>DO-tekening: 10.000 m buiten de mond (eindpunt A5 nog op -18,2 m MLWS-lijn leggen) + 1.700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3122965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2.200.000 m2 (220 x 10.000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3019000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</t>
        </is>
      </c>
      <c r="C23" s="1" t="inlineStr">
        <is>
          <t>DO: vorm van het masterplan aangehouden: twee gebogen dammen met ingang naar het OZO (11/14), hoofdbekken langs de noordzijde met graan aan de noordkade (10), containervinger met kade aan de voorhaven (6), insteekbekken en tweede vinger (7/8), tank- en energiezone langs de zuidrand (9) en LNG-steiger bij de zuidelijke dam (18). Maten volgen het rekenboek, niet het masterplan.</t>
        </is>
      </c>
      <c r="D23" s="1" t="inlineStr">
        <is>
          <t>Vastgelegd</t>
        </is>
      </c>
      <c r="E23" s="1" t="inlineStr">
        <is>
          <t>Besluitenlijst B02; vervolg: Masterplan-functies buiten het groepsprogramma (erts, olie, werf) als reserve aangeduid.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Draaikom en stopweg</t>
        </is>
      </c>
      <c r="C25" s="1" t="inlineStr">
        <is>
          <t>DO: draaikom 200 m zeewaarts verschoven, mond verder uit de kust: stopweg 1.700 m = 5,1 LOA; draaikom 87 m vrij van afgemeerde schepen en 140 m van kades/dammen.</t>
        </is>
      </c>
      <c r="D25" s="1" t="inlineStr">
        <is>
          <t>Verwerkt</t>
        </is>
      </c>
      <c r="E25" s="1" t="inlineStr">
        <is>
          <t>Besluitenlijst B04; vervolg: Nautische (simulator)toets met sleepboten; containerschepen varen na het draaien achteruit of met sleepboten naar C2-C4.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10.000 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tank- en energiezone verschoven naar de zuidrand (masterplan 9); tanks op 465 m van het containerterrein, weg-/spoorcorridor ertussen; LNG-ligplaats 939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 (4e tank of kleiner buffer).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Graan en RoRo</t>
        </is>
      </c>
      <c r="C28" s="1" t="inlineStr">
        <is>
          <t>DO: graan 30 ha aan de noordkade (masterplan 10) met silo en transportband; RoRo 30 ha op de tweede vinger aan het insteekbekken (masterplan 7/8), ieder een eigen kade van 300 m en eigen inrit.</t>
        </is>
      </c>
      <c r="D28" s="1" t="inlineStr">
        <is>
          <t>Verwerkt</t>
        </is>
      </c>
      <c r="E28" s="1" t="inlineStr">
        <is>
          <t>Besluitenlijst B07; vervolg: Ramp- en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bij de ingang (C1-C2), kade groeit zuidwaarts; bekkens gebaggerd 184,2 / 210,2 / 236,2 ha; reserve-insteek en hoofdbekken-west (96,8 ha) pas in fase 4.</t>
        </is>
      </c>
      <c r="D29" s="1" t="inlineStr">
        <is>
          <t>Verwerkt</t>
        </is>
      </c>
      <c r="E29" s="1" t="inlineStr">
        <is>
          <t>Besluitenlijst B08; vervolg: Bouwmethode uitbreiding naast werkende kade (damwand/kistdam)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52,5 ha in de zuidelijke energiezone; gasleiding naar het regionale net; koelwaterinlaat in de voorhaven, uitlaat buiten de zuidelijke dam (indicatief).</t>
        </is>
      </c>
      <c r="D30" s="1" t="inlineStr">
        <is>
          <t>Reservering</t>
        </is>
      </c>
      <c r="E30" s="1" t="inlineStr">
        <is>
          <t>Besluitenlijst B09; vervolg: Vermogen/proceskeuze vaststellen; recirculatie en temperatuur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hoofdweg + spoor aan de westzijde (zoals de ringweg in het masterplan), takken achter de percelen: noord (graan), midden (RoRo), zuid (containers, LNG, centrale); aparte poorten.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3.122.965 m2, geul buiten de mond 2.200.000 m2, terreinophoging 3.019.000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10000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11700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87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140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1700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800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1200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1600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939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LNG-tanks tot containerterrein</t>
        </is>
      </c>
      <c r="B25" t="inlineStr">
        <is>
          <t>m</t>
        </is>
      </c>
      <c r="C25" t="n">
        <v>465</v>
      </c>
      <c r="E25" t="inlineStr"/>
      <c r="F25" t="inlineStr">
        <is>
          <t>QRA volgt</t>
        </is>
      </c>
    </row>
    <row r="26">
      <c r="A26" t="inlineStr">
        <is>
          <t>LNG-zone (tanks + hervergassing)</t>
        </is>
      </c>
      <c r="B26" t="inlineStr">
        <is>
          <t>ha</t>
        </is>
      </c>
      <c r="C26" t="n">
        <v>30</v>
      </c>
      <c r="E26" t="inlineStr">
        <is>
          <t>Invoer D51-D52</t>
        </is>
      </c>
      <c r="F26" t="inlineStr">
        <is>
          <t>3 tanks + optie 4e</t>
        </is>
      </c>
    </row>
    <row r="27">
      <c r="A27" t="inlineStr">
        <is>
          <t>Centrale + utilities (reservering)</t>
        </is>
      </c>
      <c r="B27" t="inlineStr">
        <is>
          <t>ha</t>
        </is>
      </c>
      <c r="C27" t="n">
        <v>52.5</v>
      </c>
      <c r="E27" t="inlineStr">
        <is>
          <t>geen vast oppervlak</t>
        </is>
      </c>
      <c r="F27" t="inlineStr">
        <is>
          <t>reservering</t>
        </is>
      </c>
    </row>
    <row r="28">
      <c r="A28" t="inlineStr">
        <is>
          <t>Havendiensten / sleepboten</t>
        </is>
      </c>
      <c r="B28" t="inlineStr">
        <is>
          <t>ha</t>
        </is>
      </c>
      <c r="C28" t="n">
        <v>15.4</v>
      </c>
      <c r="E28" t="inlineStr"/>
      <c r="F28" t="inlineStr">
        <is>
          <t>reservering</t>
        </is>
      </c>
    </row>
    <row r="29">
      <c r="A29" t="inlineStr">
        <is>
          <t>Reserveterreinen</t>
        </is>
      </c>
      <c r="B29" t="inlineStr">
        <is>
          <t>ha</t>
        </is>
      </c>
      <c r="C29" t="n">
        <v>237.8</v>
      </c>
      <c r="E29" t="inlineStr"/>
      <c r="F29" t="inlineStr">
        <is>
          <t>reservering</t>
        </is>
      </c>
    </row>
    <row r="30">
      <c r="A30" t="inlineStr">
        <is>
          <t>Vrije breedte insteekbekken met RoRo-schip</t>
        </is>
      </c>
      <c r="B30" t="inlineStr">
        <is>
          <t>m</t>
        </is>
      </c>
      <c r="C30" t="n">
        <v>407</v>
      </c>
      <c r="D30" t="n">
        <v>220</v>
      </c>
      <c r="E30" t="inlineStr"/>
      <c r="F30" t="inlineStr">
        <is>
          <t>voldoet</t>
        </is>
      </c>
    </row>
    <row r="31">
      <c r="A31" t="inlineStr">
        <is>
          <t>Binnenbekken gebaggerd fase 1</t>
        </is>
      </c>
      <c r="B31" t="inlineStr">
        <is>
          <t>m2</t>
        </is>
      </c>
      <c r="C31" t="n">
        <v>1842500</v>
      </c>
      <c r="E31" t="inlineStr"/>
      <c r="F31" t="inlineStr"/>
    </row>
    <row r="32">
      <c r="A32" t="inlineStr">
        <is>
          <t>Binnenbekken gebaggerd fase 2 (cumulatief)</t>
        </is>
      </c>
      <c r="B32" t="inlineStr">
        <is>
          <t>m2</t>
        </is>
      </c>
      <c r="C32" t="n">
        <v>2102500</v>
      </c>
      <c r="E32" t="inlineStr"/>
      <c r="F32" t="inlineStr"/>
    </row>
    <row r="33">
      <c r="A33" t="inlineStr">
        <is>
          <t>Binnenbekken gebaggerd fase 3 (cumulatief)</t>
        </is>
      </c>
      <c r="B33" t="inlineStr">
        <is>
          <t>m2</t>
        </is>
      </c>
      <c r="C33" t="n">
        <v>2362500</v>
      </c>
      <c r="E33" t="inlineStr"/>
      <c r="F33" t="inlineStr"/>
    </row>
    <row r="34">
      <c r="A34" t="inlineStr">
        <is>
          <t>Voorhaven + LNG-insteek gebaggerd</t>
        </is>
      </c>
      <c r="B34" t="inlineStr">
        <is>
          <t>m2</t>
        </is>
      </c>
      <c r="C34" t="n">
        <v>760465</v>
      </c>
      <c r="E34" t="inlineStr"/>
      <c r="F34" t="inlineStr"/>
    </row>
    <row r="35">
      <c r="A35" t="inlineStr">
        <is>
          <t>Havenbekken totaal (zone 1)</t>
        </is>
      </c>
      <c r="B35" t="inlineStr">
        <is>
          <t>m2</t>
        </is>
      </c>
      <c r="C35" t="n">
        <v>3122965</v>
      </c>
      <c r="E35" t="inlineStr">
        <is>
          <t>Grondwerk C6</t>
        </is>
      </c>
      <c r="F35" t="inlineStr">
        <is>
          <t>ingevuld</t>
        </is>
      </c>
    </row>
    <row r="36">
      <c r="A36" t="inlineStr">
        <is>
          <t>Geul buiten de mond (zone 2 + 3)</t>
        </is>
      </c>
      <c r="B36" t="inlineStr">
        <is>
          <t>m2</t>
        </is>
      </c>
      <c r="C36" t="n">
        <v>2200000</v>
      </c>
      <c r="E36" t="inlineStr">
        <is>
          <t>Grondwerk C7 + C8</t>
        </is>
      </c>
      <c r="F36" t="inlineStr">
        <is>
          <t>splitsing open</t>
        </is>
      </c>
    </row>
    <row r="37">
      <c r="A37" t="inlineStr">
        <is>
          <t>Terreinophoging (terminals, LNG, centrale, havendienst)</t>
        </is>
      </c>
      <c r="B37" t="inlineStr">
        <is>
          <t>m2</t>
        </is>
      </c>
      <c r="C37" t="n">
        <v>3019000</v>
      </c>
      <c r="E37" t="inlineStr">
        <is>
          <t>Grondwerk D21</t>
        </is>
      </c>
      <c r="F37" t="inlineStr">
        <is>
          <t>ingevuld</t>
        </is>
      </c>
    </row>
    <row r="39">
      <c r="A39" t="inlineStr">
        <is>
          <t>Punt</t>
        </is>
      </c>
      <c r="B39" t="inlineStr">
        <is>
          <t>Omschrijving</t>
        </is>
      </c>
      <c r="C39" t="inlineStr">
        <is>
          <t>E (m)</t>
        </is>
      </c>
      <c r="D39" t="inlineStr">
        <is>
          <t>N (m)</t>
        </is>
      </c>
      <c r="E39" t="inlineStr">
        <is>
          <t>Lat</t>
        </is>
      </c>
      <c r="F39" t="inlineStr">
        <is>
          <t>Lon</t>
        </is>
      </c>
    </row>
    <row r="40">
      <c r="A40" t="inlineStr">
        <is>
          <t>A1</t>
        </is>
      </c>
      <c r="B40" t="inlineStr">
        <is>
          <t>Kustpunt havenas (waterlijn)</t>
        </is>
      </c>
      <c r="C40" t="n">
        <v>297135</v>
      </c>
      <c r="D40" t="n">
        <v>7650000</v>
      </c>
      <c r="E40" t="n">
        <v>-21.2403293</v>
      </c>
      <c r="F40" t="n">
        <v>-40.9548262</v>
      </c>
    </row>
    <row r="41">
      <c r="A41" t="inlineStr">
        <is>
          <t>A2</t>
        </is>
      </c>
      <c r="B41" t="inlineStr">
        <is>
          <t>Middelpunt vrije draaikom</t>
        </is>
      </c>
      <c r="C41" t="n">
        <v>297451.11</v>
      </c>
      <c r="D41" t="n">
        <v>7649991.36</v>
      </c>
      <c r="E41" t="n">
        <v>-21.2404426</v>
      </c>
      <c r="F41" t="n">
        <v>-40.9517825</v>
      </c>
    </row>
    <row r="42">
      <c r="A42" t="inlineStr">
        <is>
          <t>A3</t>
        </is>
      </c>
      <c r="B42" t="inlineStr">
        <is>
          <t>Midden havenmond</t>
        </is>
      </c>
      <c r="C42" t="n">
        <v>298876.85</v>
      </c>
      <c r="D42" t="n">
        <v>7649065.48</v>
      </c>
      <c r="E42" t="n">
        <v>-21.2489619</v>
      </c>
      <c r="F42" t="n">
        <v>-40.9381592</v>
      </c>
    </row>
    <row r="43">
      <c r="A43" t="inlineStr">
        <is>
          <t>A4</t>
        </is>
      </c>
      <c r="B43" t="inlineStr">
        <is>
          <t>Sleepbootkoppelpunt</t>
        </is>
      </c>
      <c r="C43" t="n">
        <v>300134.86</v>
      </c>
      <c r="D43" t="n">
        <v>7648248.52</v>
      </c>
      <c r="E43" t="n">
        <v>-21.2564782</v>
      </c>
      <c r="F43" t="n">
        <v>-40.9261374</v>
      </c>
    </row>
    <row r="44">
      <c r="A44" t="inlineStr">
        <is>
          <t>A5</t>
        </is>
      </c>
      <c r="B44" t="inlineStr">
        <is>
          <t>Eindpunt geul (voorlopig)</t>
        </is>
      </c>
      <c r="C44" t="n">
        <v>307263.56</v>
      </c>
      <c r="D44" t="n">
        <v>7643619.09</v>
      </c>
      <c r="E44" t="n">
        <v>-21.2990555</v>
      </c>
      <c r="F44" t="n">
        <v>-40.8579896</v>
      </c>
    </row>
    <row r="45">
      <c r="A45" t="inlineStr">
        <is>
          <t>A6</t>
        </is>
      </c>
      <c r="B45" t="inlineStr">
        <is>
          <t>Wortel noordelijke golfbreker</t>
        </is>
      </c>
      <c r="C45" t="n">
        <v>297737.85</v>
      </c>
      <c r="D45" t="n">
        <v>7651802.52</v>
      </c>
      <c r="E45" t="n">
        <v>-21.2241196</v>
      </c>
      <c r="F45" t="n">
        <v>-40.9488056</v>
      </c>
    </row>
    <row r="46">
      <c r="A46" t="inlineStr">
        <is>
          <t>A7</t>
        </is>
      </c>
      <c r="B46" t="inlineStr">
        <is>
          <t>Wortel zuidelijke golfbreker</t>
        </is>
      </c>
      <c r="C46" t="n">
        <v>296314.32</v>
      </c>
      <c r="D46" t="n">
        <v>7648329.97</v>
      </c>
      <c r="E46" t="n">
        <v>-21.255318</v>
      </c>
      <c r="F46" t="n">
        <v>-40.9629306</v>
      </c>
    </row>
    <row r="47">
      <c r="A47" t="inlineStr">
        <is>
          <t>A8</t>
        </is>
      </c>
      <c r="B47" t="inlineStr">
        <is>
          <t>Containerkade noordeinde (F1)</t>
        </is>
      </c>
      <c r="C47" t="n">
        <v>297135.17</v>
      </c>
      <c r="D47" t="n">
        <v>7650585.23</v>
      </c>
      <c r="E47" t="n">
        <v>-21.2350446</v>
      </c>
      <c r="F47" t="n">
        <v>-40.9547548</v>
      </c>
    </row>
    <row r="48">
      <c r="A48" t="inlineStr">
        <is>
          <t>A9</t>
        </is>
      </c>
      <c r="B48" t="inlineStr">
        <is>
          <t>Containerkade zuideinde (F3)</t>
        </is>
      </c>
      <c r="C48" t="n">
        <v>296587.94</v>
      </c>
      <c r="D48" t="n">
        <v>7649081.73</v>
      </c>
      <c r="E48" t="n">
        <v>-21.2485603</v>
      </c>
      <c r="F48" t="n">
        <v>-40.960205</v>
      </c>
    </row>
    <row r="49">
      <c r="A49" t="inlineStr">
        <is>
          <t>A10</t>
        </is>
      </c>
      <c r="B49" t="inlineStr">
        <is>
          <t>Midden LNG-ligplaats</t>
        </is>
      </c>
      <c r="C49" t="n">
        <v>297377.21</v>
      </c>
      <c r="D49" t="n">
        <v>7648560.34</v>
      </c>
      <c r="E49" t="n">
        <v>-21.2533567</v>
      </c>
      <c r="F49" t="n">
        <v>-40.9526645</v>
      </c>
    </row>
    <row r="50">
      <c r="A50" t="inlineStr">
        <is>
          <t>A11</t>
        </is>
      </c>
      <c r="B50" t="inlineStr">
        <is>
          <t>Graankade midden</t>
        </is>
      </c>
      <c r="C50" t="n">
        <v>296729.58</v>
      </c>
      <c r="D50" t="n">
        <v>7651371.36</v>
      </c>
      <c r="E50" t="n">
        <v>-21.2279005</v>
      </c>
      <c r="F50" t="n">
        <v>-40.9585675</v>
      </c>
    </row>
    <row r="51">
      <c r="A51" t="inlineStr">
        <is>
          <t>A12</t>
        </is>
      </c>
      <c r="B51" t="inlineStr">
        <is>
          <t>RoRo-kade midden</t>
        </is>
      </c>
      <c r="C51" t="n">
        <v>295815.28</v>
      </c>
      <c r="D51" t="n">
        <v>7650906.01</v>
      </c>
      <c r="E51" t="n">
        <v>-21.2320002</v>
      </c>
      <c r="F51" t="n">
        <v>-40.9674288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2026-10-22T10:34:10Z</dcterms:created>
  <dcterms:modified xmlns:dcterms="http://purl.org/dc/terms/" xmlns:xsi="http://www.w3.org/2001/XMLSchema-instance" xsi:type="dcterms:W3CDTF">2026-10-22T10:34:10Z</dcterms:modified>
</cp:coreProperties>
</file>