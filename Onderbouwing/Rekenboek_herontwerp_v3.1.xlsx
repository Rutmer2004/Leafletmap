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ltaten" sheetId="1" state="visible" r:id="rId3"/>
    <sheet name="Invoer" sheetId="2" state="visible" r:id="rId4"/>
    <sheet name="Nautiek" sheetId="3" state="visible" r:id="rId5"/>
    <sheet name="Containers" sheetId="4" state="visible" r:id="rId6"/>
    <sheet name="Overige terminals" sheetId="5" state="visible" r:id="rId7"/>
    <sheet name="Grondwerk" sheetId="6" state="visible" r:id="rId8"/>
    <sheet name="Afweging" sheetId="7" state="visible" r:id="rId9"/>
    <sheet name="Keuz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<sst xmlns="http://schemas.openxmlformats.org/spreadsheetml/2006/main" count="1724" uniqueCount="1209">
  <si>
    <t xml:space="preserve">Havenontwerp Groep 1 volgens Haven DO</t>
  </si>
  <si>
    <t xml:space="preserve">Actieve LNG-tanks</t>
  </si>
  <si>
    <t xml:space="preserve">Versie 3.1 DO (tekening 8.3)</t>
  </si>
  <si>
    <t xml:space="preserve">Ref</t>
  </si>
  <si>
    <t xml:space="preserve">Ontwerpresultaat</t>
  </si>
  <si>
    <t xml:space="preserve">Eenheid</t>
  </si>
  <si>
    <t xml:space="preserve">2025</t>
  </si>
  <si>
    <t xml:space="preserve">2035</t>
  </si>
  <si>
    <t xml:space="preserve">2045</t>
  </si>
  <si>
    <t xml:space="preserve">Betekenis</t>
  </si>
  <si>
    <t xml:space="preserve">R01</t>
  </si>
  <si>
    <t xml:space="preserve">Containerligplaatsen vereist</t>
  </si>
  <si>
    <t xml:space="preserve">aantal</t>
  </si>
  <si>
    <t xml:space="preserve">Aantal containerligplaatsen dat nodig is om de overslag te halen bij max. 65% kadebezetting.</t>
  </si>
  <si>
    <t xml:space="preserve">R02</t>
  </si>
  <si>
    <t xml:space="preserve">Containerligplaatsen gepland</t>
  </si>
  <si>
    <t xml:space="preserve">Aantal getekende ligplaatsen (C1-C4); gelijk aan of meer dan vereist = voldoet.</t>
  </si>
  <si>
    <t xml:space="preserve">R03</t>
  </si>
  <si>
    <t xml:space="preserve">Bezetting containerkade</t>
  </si>
  <si>
    <t xml:space="preserve">deel</t>
  </si>
  <si>
    <t xml:space="preserve">Deel van de tijd dat de kade bezet is; onder 65% blijven de wachttijden voor schepen beperkt.</t>
  </si>
  <si>
    <t xml:space="preserve">R04</t>
  </si>
  <si>
    <t xml:space="preserve">Containerkade gemeten</t>
  </si>
  <si>
    <t xml:space="preserve">m</t>
  </si>
  <si>
    <t xml:space="preserve">Getekende kadelengte (4 x ca. 401 m); ruim voor 4 schepen van 334 m met tussenruimte.</t>
  </si>
  <si>
    <t xml:space="preserve">R05</t>
  </si>
  <si>
    <t xml:space="preserve">STS-kranen gelijktijdig</t>
  </si>
  <si>
    <t xml:space="preserve">Aantal STS-kranen dat tegelijk werkt (3/4/5 per schip); in de eindfase 20 getekend.</t>
  </si>
  <si>
    <t xml:space="preserve">R06</t>
  </si>
  <si>
    <t xml:space="preserve">Containerterrein nodig</t>
  </si>
  <si>
    <t xml:space="preserve">ha</t>
  </si>
  <si>
    <t xml:space="preserve">Benodigd containerterrein uit voorraad, stapeling en terreinfactor.</t>
  </si>
  <si>
    <t xml:space="preserve">R07</t>
  </si>
  <si>
    <t xml:space="preserve">Containerterrein gemeten</t>
  </si>
  <si>
    <t xml:space="preserve">Getekend containerterrein; groter dan nodig = ruimte voor gate, spoor en buffers.</t>
  </si>
  <si>
    <t xml:space="preserve">R08</t>
  </si>
  <si>
    <t xml:space="preserve">Graanterrein referentiemodel</t>
  </si>
  <si>
    <t xml:space="preserve">Graanterrein volgens het oude rekenmodel (8 m opslaghoogte); getekend is 30,4 ha met silo s en loods.</t>
  </si>
  <si>
    <t xml:space="preserve">R09</t>
  </si>
  <si>
    <t xml:space="preserve">RoRo terrein nodig</t>
  </si>
  <si>
    <t xml:space="preserve">Benodigd RoRo-terrein voor de autovoorraad; getekend is 30,2 ha = voldoet.</t>
  </si>
  <si>
    <t xml:space="preserve">R10</t>
  </si>
  <si>
    <t xml:space="preserve">LNG-calls afgerond</t>
  </si>
  <si>
    <t xml:space="preserve">calls/jaar</t>
  </si>
  <si>
    <t xml:space="preserve">Aantal LNG-schepen per jaar (ca. 1 per week in 2045).</t>
  </si>
  <si>
    <t xml:space="preserve">R11</t>
  </si>
  <si>
    <t xml:space="preserve">LNG opslagmarge</t>
  </si>
  <si>
    <t xml:space="preserve">m3</t>
  </si>
  <si>
    <t xml:space="preserve">Vrije tankruimte bij aankomst van een volle LNG-tanker; positief = de lading past.</t>
  </si>
  <si>
    <t xml:space="preserve">R12</t>
  </si>
  <si>
    <t xml:space="preserve">LNG opslagmarge bij tank uit</t>
  </si>
  <si>
    <t xml:space="preserve">Idem als één tank buiten bedrijf is (N-1). Negatief in 2045 = de gereserveerde 4e tank is dan nodig.</t>
  </si>
  <si>
    <t xml:space="preserve">R13</t>
  </si>
  <si>
    <t xml:space="preserve">Centrale vermogen voorbeeld</t>
  </si>
  <si>
    <t xml:space="preserve">MW</t>
  </si>
  <si>
    <t xml:space="preserve">Elektrisch vermogen van de gascentrale als 50% van het LNG naar de centrale gaat (rekenvoorbeeld).</t>
  </si>
  <si>
    <t xml:space="preserve">Nautische maten volgens de DWG</t>
  </si>
  <si>
    <t xml:space="preserve">Rechte geulbreedte</t>
  </si>
  <si>
    <t xml:space="preserve">Breedte geulbocht</t>
  </si>
  <si>
    <t xml:space="preserve">Diepte hoofdgeul</t>
  </si>
  <si>
    <t xml:space="preserve">m MLWS</t>
  </si>
  <si>
    <t xml:space="preserve">Diepte LNG-vaarweg</t>
  </si>
  <si>
    <t xml:space="preserve">Diepte RoRo-zone</t>
  </si>
  <si>
    <t xml:space="preserve">Buitenste draaikom</t>
  </si>
  <si>
    <t xml:space="preserve">Binnenste zwaaiplaats</t>
  </si>
  <si>
    <t xml:space="preserve">Havenmond</t>
  </si>
  <si>
    <t xml:space="preserve">Totale hoofdgeulas</t>
  </si>
  <si>
    <t xml:space="preserve">Geulas buiten de mond</t>
  </si>
  <si>
    <t xml:space="preserve">Straal geulbocht</t>
  </si>
  <si>
    <t xml:space="preserve">Binnenste kom tegen eerder criterium</t>
  </si>
  <si>
    <t xml:space="preserve">Opslagcapaciteit en open gegevens</t>
  </si>
  <si>
    <t xml:space="preserve">Onderdeel</t>
  </si>
  <si>
    <t xml:space="preserve">R14</t>
  </si>
  <si>
    <t xml:space="preserve">Marge aparte lege-vakken</t>
  </si>
  <si>
    <t xml:space="preserve">TEU</t>
  </si>
  <si>
    <t xml:space="preserve">Ruwe bovengrens; gedeelde opslag nog kiezen</t>
  </si>
  <si>
    <t xml:space="preserve">R15</t>
  </si>
  <si>
    <t xml:space="preserve">Toets totale containeropslag</t>
  </si>
  <si>
    <t xml:space="preserve">-</t>
  </si>
  <si>
    <t xml:space="preserve">Bruikbare grondslots ontbreken</t>
  </si>
  <si>
    <t xml:space="preserve">R16</t>
  </si>
  <si>
    <t xml:space="preserve">Marge aangewezen RoRo-parkeervlakken</t>
  </si>
  <si>
    <t xml:space="preserve">auto</t>
  </si>
  <si>
    <t xml:space="preserve">Bij 30 m2 per auto incl. rijruimte</t>
  </si>
  <si>
    <t xml:space="preserve">R17</t>
  </si>
  <si>
    <t xml:space="preserve">Loodsvoorraad nodig naast silo’s</t>
  </si>
  <si>
    <t xml:space="preserve">ton</t>
  </si>
  <si>
    <t xml:space="preserve">Bij indicatief 40 m silocilinder en 90% benutting</t>
  </si>
  <si>
    <t xml:space="preserve">R18</t>
  </si>
  <si>
    <t xml:space="preserve">Status totale graanopslag</t>
  </si>
  <si>
    <t xml:space="preserve">Bruikbare loodsgegevens nog invullen</t>
  </si>
  <si>
    <t xml:space="preserve">R19</t>
  </si>
  <si>
    <t xml:space="preserve">Voorlopig; 4 cirkels tegenover 3 details</t>
  </si>
  <si>
    <t xml:space="preserve">R20</t>
  </si>
  <si>
    <t xml:space="preserve">LNG-opslag bij één tank uit</t>
  </si>
  <si>
    <t xml:space="preserve">Bij geselecteerd aantal en voorraadbeleid</t>
  </si>
  <si>
    <t xml:space="preserve">Rekenbasis en gebruik</t>
  </si>
  <si>
    <t xml:space="preserve">Versie</t>
  </si>
  <si>
    <t xml:space="preserve">3.0 DO</t>
  </si>
  <si>
    <t xml:space="preserve">23 oktober 2026. Gemeten geometrie uit de aangeleverde Haven_DO.dwg.</t>
  </si>
  <si>
    <t xml:space="preserve">Invoercellen</t>
  </si>
  <si>
    <t xml:space="preserve">Geel is invoer</t>
  </si>
  <si>
    <t xml:space="preserve">LNG-tanks wijzigen in Invoer D3. Bruikbare slots en loodsgegevens staan onder de gemeten ontwerpwaarden.</t>
  </si>
  <si>
    <t xml:space="preserve">Gemeten waarden</t>
  </si>
  <si>
    <t xml:space="preserve">Blauwe invoer</t>
  </si>
  <si>
    <t xml:space="preserve">De nieuwe meetwaarden en objectcodes staan op Invoer. Aannamen en onduidelijke gegevens zijn apart benoemd.</t>
  </si>
  <si>
    <t xml:space="preserve">Baggervolume</t>
  </si>
  <si>
    <t xml:space="preserve">Bestaande bodem ontbreekt. Open en overlappende contouren moeten eerst definitief worden afgebakend.</t>
  </si>
  <si>
    <t xml:space="preserve">Hoofdrapport</t>
  </si>
  <si>
    <t xml:space="preserve">Nog oude versie</t>
  </si>
  <si>
    <t xml:space="preserve">Deze wijziging betreft Excel. Het hoofdrapport en de tekenbrief van 22 oktober moeten nog op de DO-versie worden aangepast.</t>
  </si>
  <si>
    <t xml:space="preserve">Invoer</t>
  </si>
  <si>
    <t xml:space="preserve">Tekening DO 8.3: 3 tanks actief, 4e tank gestippeld als reserve (N-1-keuze). Zet 4 om de N-1-variant door te rekenen.</t>
  </si>
  <si>
    <t xml:space="preserve">Parameter</t>
  </si>
  <si>
    <t xml:space="preserve">Status</t>
  </si>
  <si>
    <t xml:space="preserve">Bron of motivering</t>
  </si>
  <si>
    <t xml:space="preserve">ct</t>
  </si>
  <si>
    <t xml:space="preserve">Containeroverslag</t>
  </si>
  <si>
    <t xml:space="preserve">TEU/jaar</t>
  </si>
  <si>
    <t xml:space="preserve">Case</t>
  </si>
  <si>
    <t xml:space="preserve">[1] PPD-A p. 2</t>
  </si>
  <si>
    <t xml:space="preserve">bulk</t>
  </si>
  <si>
    <t xml:space="preserve">Graanoverslag</t>
  </si>
  <si>
    <t xml:space="preserve">ton/jaar</t>
  </si>
  <si>
    <t xml:space="preserve">roro</t>
  </si>
  <si>
    <t xml:space="preserve">Voertuigen</t>
  </si>
  <si>
    <t xml:space="preserve">auto/jaar</t>
  </si>
  <si>
    <t xml:space="preserve">lng</t>
  </si>
  <si>
    <t xml:space="preserve">LNG-overslag</t>
  </si>
  <si>
    <t xml:space="preserve">m3 LNG/jaar</t>
  </si>
  <si>
    <t xml:space="preserve">days</t>
  </si>
  <si>
    <t xml:space="preserve">Kalenderdagen</t>
  </si>
  <si>
    <t xml:space="preserve">dagen/jaar</t>
  </si>
  <si>
    <t xml:space="preserve">Definitie</t>
  </si>
  <si>
    <t xml:space="preserve">Geen schrikkeljaarcorrectie op conceptniveau</t>
  </si>
  <si>
    <t xml:space="preserve">avail</t>
  </si>
  <si>
    <t xml:space="preserve">Beschikbare ligplaatstijd</t>
  </si>
  <si>
    <t xml:space="preserve">Rekenaanname</t>
  </si>
  <si>
    <t xml:space="preserve">5% uitval door weer en onderhoud; gevoeligheid toetsen</t>
  </si>
  <si>
    <t xml:space="preserve">target</t>
  </si>
  <si>
    <t xml:space="preserve">Doelbezetting containerkade</t>
  </si>
  <si>
    <t xml:space="preserve">Projectcriterium</t>
  </si>
  <si>
    <t xml:space="preserve">Planningsgrens; wachttijdmodel nog nodig</t>
  </si>
  <si>
    <t xml:space="preserve">ratio</t>
  </si>
  <si>
    <t xml:space="preserve">Aantal 20ft / aantal 40ft</t>
  </si>
  <si>
    <t xml:space="preserve">[1] Verhouding aantallen, niet verhouding TEU</t>
  </si>
  <si>
    <t xml:space="preserve">callC</t>
  </si>
  <si>
    <t xml:space="preserve">Overslag per containercall</t>
  </si>
  <si>
    <t xml:space="preserve">TEU/call</t>
  </si>
  <si>
    <t xml:space="preserve">Zelfde callgrootte alle fasen; geen groei in scheepsafmetingen</t>
  </si>
  <si>
    <t xml:space="preserve">cranes</t>
  </si>
  <si>
    <t xml:space="preserve">Gelijktijdige STS-kranen per schip</t>
  </si>
  <si>
    <t xml:space="preserve">Ontwerpvoorstel</t>
  </si>
  <si>
    <t xml:space="preserve">3/4/5 per schip blijft rekenaanname. Eindfase heeft 20 getekende STS-symbolen.</t>
  </si>
  <si>
    <t xml:space="preserve">qcrane</t>
  </si>
  <si>
    <t xml:space="preserve">Netto STS-productiviteit</t>
  </si>
  <si>
    <t xml:space="preserve">box/uur/kraan</t>
  </si>
  <si>
    <t xml:space="preserve">Te toetsen met operator; 20 geeft meer benodigde ligplaatsen</t>
  </si>
  <si>
    <t xml:space="preserve">moorC</t>
  </si>
  <si>
    <t xml:space="preserve">Tijd buiten containeroverslag</t>
  </si>
  <si>
    <t xml:space="preserve">uur/call</t>
  </si>
  <si>
    <t xml:space="preserve">Aan- en afmeren, checks en wisselen samen</t>
  </si>
  <si>
    <t xml:space="preserve">berths</t>
  </si>
  <si>
    <t xml:space="preserve">Geplande containerligplaatsen</t>
  </si>
  <si>
    <t xml:space="preserve">2/3/4 uit faseaantekeningen; vier kades in eindfase getekend.</t>
  </si>
  <si>
    <t xml:space="preserve">module</t>
  </si>
  <si>
    <t xml:space="preserve">Containerkade per ligplaats</t>
  </si>
  <si>
    <t xml:space="preserve">Gemeten DWG</t>
  </si>
  <si>
    <t xml:space="preserve">Gemeten invoer hieronder; gekoppeld aan de tekening van 23 oktober 2026.</t>
  </si>
  <si>
    <t xml:space="preserve">yard</t>
  </si>
  <si>
    <t xml:space="preserve">Te reserveren containerterrein</t>
  </si>
  <si>
    <t xml:space="preserve">imp</t>
  </si>
  <si>
    <t xml:space="preserve">Aandeel import</t>
  </si>
  <si>
    <t xml:space="preserve">exp</t>
  </si>
  <si>
    <t xml:space="preserve">Aandeel volle export</t>
  </si>
  <si>
    <t xml:space="preserve">empty</t>
  </si>
  <si>
    <t xml:space="preserve">Aandeel lege export</t>
  </si>
  <si>
    <t xml:space="preserve">dImp</t>
  </si>
  <si>
    <t xml:space="preserve">Verblijftijd import</t>
  </si>
  <si>
    <t xml:space="preserve">dagen</t>
  </si>
  <si>
    <t xml:space="preserve">dExp</t>
  </si>
  <si>
    <t xml:space="preserve">Verblijftijd export</t>
  </si>
  <si>
    <t xml:space="preserve">dEmpty</t>
  </si>
  <si>
    <t xml:space="preserve">Verblijftijd leeg</t>
  </si>
  <si>
    <t xml:space="preserve">peak</t>
  </si>
  <si>
    <t xml:space="preserve">Piekfactor voorraad</t>
  </si>
  <si>
    <t xml:space="preserve">Voor seizoens- en aankomstvariatie</t>
  </si>
  <si>
    <t xml:space="preserve">stack</t>
  </si>
  <si>
    <t xml:space="preserve">Effectieve gemiddelde stapeling</t>
  </si>
  <si>
    <t xml:space="preserve">TEU/slot</t>
  </si>
  <si>
    <t xml:space="preserve">Inclusief lagere stapeling voor bereikbaarheid</t>
  </si>
  <si>
    <t xml:space="preserve">util</t>
  </si>
  <si>
    <t xml:space="preserve">Benutting grondslots</t>
  </si>
  <si>
    <t xml:space="preserve">Operationele reserve</t>
  </si>
  <si>
    <t xml:space="preserve">slot</t>
  </si>
  <si>
    <t xml:space="preserve">Netto oppervlakte per TEU-slot</t>
  </si>
  <si>
    <t xml:space="preserve">m2</t>
  </si>
  <si>
    <t xml:space="preserve">TEU-equivalent grondslot; niet box-slot</t>
  </si>
  <si>
    <t xml:space="preserve">support</t>
  </si>
  <si>
    <t xml:space="preserve">Terreinfactor containers / RoRo</t>
  </si>
  <si>
    <t xml:space="preserve">Aanvulling voor apron, wegen en gebouwen</t>
  </si>
  <si>
    <t xml:space="preserve">callB</t>
  </si>
  <si>
    <t xml:space="preserve">Graan per scheepscall</t>
  </si>
  <si>
    <t xml:space="preserve">ton/call</t>
  </si>
  <si>
    <t xml:space="preserve">Binnen 81.290 DWT; DWT is niet volledig laadvermogen</t>
  </si>
  <si>
    <t xml:space="preserve">qB</t>
  </si>
  <si>
    <t xml:space="preserve">Netto graanproductiviteit</t>
  </si>
  <si>
    <t xml:space="preserve">ton/uur</t>
  </si>
  <si>
    <t xml:space="preserve">Scheepsbelader incl. operationele stops</t>
  </si>
  <si>
    <t xml:space="preserve">moorB</t>
  </si>
  <si>
    <t xml:space="preserve">Overige tijd graanschip</t>
  </si>
  <si>
    <t xml:space="preserve">Aan/afmeren, controles en wissel</t>
  </si>
  <si>
    <t xml:space="preserve">dB</t>
  </si>
  <si>
    <t xml:space="preserve">Graanvoorraad</t>
  </si>
  <si>
    <t xml:space="preserve">Op basis van kalenderdoorzet</t>
  </si>
  <si>
    <t xml:space="preserve">rhoB</t>
  </si>
  <si>
    <t xml:space="preserve">Graandichtheid</t>
  </si>
  <si>
    <t xml:space="preserve">ton/m3</t>
  </si>
  <si>
    <t xml:space="preserve">Productspecificatie nog bevestigen</t>
  </si>
  <si>
    <t xml:space="preserve">hB</t>
  </si>
  <si>
    <t xml:space="preserve">Effectieve opslaghoogte graan</t>
  </si>
  <si>
    <t xml:space="preserve">8 m blijft alleen referentie voor oud terreinmodel; geen vastgestelde hoogte van de nieuwe loods.</t>
  </si>
  <si>
    <t xml:space="preserve">facB</t>
  </si>
  <si>
    <t xml:space="preserve">Factor graanopslagterrein</t>
  </si>
  <si>
    <t xml:space="preserve">Opslag plus interne bediening, exclusief grote reserves</t>
  </si>
  <si>
    <t xml:space="preserve">areaB</t>
  </si>
  <si>
    <t xml:space="preserve">Graanterrein reservering</t>
  </si>
  <si>
    <t xml:space="preserve">callR</t>
  </si>
  <si>
    <t xml:space="preserve">Voertuigen per scheepscall</t>
  </si>
  <si>
    <t xml:space="preserve">auto/call</t>
  </si>
  <si>
    <t xml:space="preserve">Bovengrens gemiddelde referentie; gevoelig voor part-calls</t>
  </si>
  <si>
    <t xml:space="preserve">qR</t>
  </si>
  <si>
    <t xml:space="preserve">Netto RoRo-productiviteit</t>
  </si>
  <si>
    <t xml:space="preserve">auto/uur</t>
  </si>
  <si>
    <t xml:space="preserve">Te toetsen op rijploegen en rampconfiguratie</t>
  </si>
  <si>
    <t xml:space="preserve">moorR</t>
  </si>
  <si>
    <t xml:space="preserve">Overige tijd RoRo</t>
  </si>
  <si>
    <t xml:space="preserve">Aan/afmeren en controles</t>
  </si>
  <si>
    <t xml:space="preserve">dR</t>
  </si>
  <si>
    <t xml:space="preserve">Verblijftijd voertuigen</t>
  </si>
  <si>
    <t xml:space="preserve">Open terrein</t>
  </si>
  <si>
    <t xml:space="preserve">peakR</t>
  </si>
  <si>
    <t xml:space="preserve">Piekfactor voertuigen</t>
  </si>
  <si>
    <t xml:space="preserve">Voorraadvorming</t>
  </si>
  <si>
    <t xml:space="preserve">spaceR</t>
  </si>
  <si>
    <t xml:space="preserve">Parkeren en rijruimte per auto</t>
  </si>
  <si>
    <t xml:space="preserve">m2/auto</t>
  </si>
  <si>
    <t xml:space="preserve">Interne rijruimte inbegrepen</t>
  </si>
  <si>
    <t xml:space="preserve">areaR</t>
  </si>
  <si>
    <t xml:space="preserve">RoRo-terrein reservering</t>
  </si>
  <si>
    <t xml:space="preserve">shipL</t>
  </si>
  <si>
    <t xml:space="preserve">Capaciteit LNG-referentie</t>
  </si>
  <si>
    <t xml:space="preserve">Deel 1</t>
  </si>
  <si>
    <t xml:space="preserve">[2] GASLOG GREECE; gegevens uit scheepsonderzoek</t>
  </si>
  <si>
    <t xml:space="preserve">parcelL</t>
  </si>
  <si>
    <t xml:space="preserve">Effectieve LNG-lading</t>
  </si>
  <si>
    <t xml:space="preserve">Bij volledige ontvangst; calls niet gelijk aan tankercapaciteit</t>
  </si>
  <si>
    <t xml:space="preserve">qL</t>
  </si>
  <si>
    <t xml:space="preserve">Netto LNG-overslag</t>
  </si>
  <si>
    <t xml:space="preserve">m3/uur</t>
  </si>
  <si>
    <t xml:space="preserve">Lager dan 15.000 m3/uur in Gate voorbeeld [5]</t>
  </si>
  <si>
    <t xml:space="preserve">moorL</t>
  </si>
  <si>
    <t xml:space="preserve">Overige tijd LNG</t>
  </si>
  <si>
    <t xml:space="preserve">Mooring, aansluiten, koelen, checks en vertrek</t>
  </si>
  <si>
    <t xml:space="preserve">tanks</t>
  </si>
  <si>
    <t xml:space="preserve">Aantal LNG-tanks</t>
  </si>
  <si>
    <t xml:space="preserve">Voorlopige keuze</t>
  </si>
  <si>
    <t xml:space="preserve">Actieve tankkeuze in D3. Alle fasen dezelfde opstelling als rekenaanname; 4 cirkels versus 3 tankdetails.</t>
  </si>
  <si>
    <t xml:space="preserve">tankSize</t>
  </si>
  <si>
    <t xml:space="preserve">Nominale inhoud per LNG-tank</t>
  </si>
  <si>
    <t xml:space="preserve">[5] Gate terminal: totaal 540.000 m3</t>
  </si>
  <si>
    <t xml:space="preserve">lowL</t>
  </si>
  <si>
    <t xml:space="preserve">Ondergrens LNG-tankvulling</t>
  </si>
  <si>
    <t xml:space="preserve">Heel; technische grens nog bevestigen</t>
  </si>
  <si>
    <t xml:space="preserve">highL</t>
  </si>
  <si>
    <t xml:space="preserve">Bovengrens LNG-tankvulling</t>
  </si>
  <si>
    <t xml:space="preserve">Vrije tankruimte; technische grens nog bevestigen</t>
  </si>
  <si>
    <t xml:space="preserve">bufferL</t>
  </si>
  <si>
    <t xml:space="preserve">Buffer LNG bij aankomst</t>
  </si>
  <si>
    <t xml:space="preserve">Operationele voorraad naast ontvangstruimte volledige parcel</t>
  </si>
  <si>
    <t xml:space="preserve">gasRatio</t>
  </si>
  <si>
    <t xml:space="preserve">Gas uit 1 m3 LNG</t>
  </si>
  <si>
    <t xml:space="preserve">Nm3/m3</t>
  </si>
  <si>
    <t xml:space="preserve">Referentiewaarde</t>
  </si>
  <si>
    <t xml:space="preserve">[5] Gate; gascondities en kwaliteit nader vastleggen</t>
  </si>
  <si>
    <t xml:space="preserve">mwhL</t>
  </si>
  <si>
    <t xml:space="preserve">Energie-inhoud LNG</t>
  </si>
  <si>
    <t xml:space="preserve">MWh/m3</t>
  </si>
  <si>
    <t xml:space="preserve">[5] Gate opleidingspresentatie; productspecificatie vereist</t>
  </si>
  <si>
    <t xml:space="preserve">powerShare</t>
  </si>
  <si>
    <t xml:space="preserve">LNG naar elektriciteitscentrale</t>
  </si>
  <si>
    <t xml:space="preserve">Rekenvoorbeeld</t>
  </si>
  <si>
    <t xml:space="preserve">Niet vastgesteld; rest naar regionaal gasnet</t>
  </si>
  <si>
    <t xml:space="preserve">eta</t>
  </si>
  <si>
    <t xml:space="preserve">Elektrisch rendement</t>
  </si>
  <si>
    <t xml:space="preserve">CCGT-aanname voor energiebalans, geen leveranciersontwerp</t>
  </si>
  <si>
    <t xml:space="preserve">loadPower</t>
  </si>
  <si>
    <t xml:space="preserve">Benuttingsfactor centrale</t>
  </si>
  <si>
    <t xml:space="preserve">Voor vermogen uit jaarlijkse energie</t>
  </si>
  <si>
    <t xml:space="preserve">LOA</t>
  </si>
  <si>
    <t xml:space="preserve">Maatgevende LOA regulier</t>
  </si>
  <si>
    <t xml:space="preserve">[2] EVER LUCENT; MOZAH buiten reguliere vloot</t>
  </si>
  <si>
    <t xml:space="preserve">beam</t>
  </si>
  <si>
    <t xml:space="preserve">Maatgevende breedte regulier</t>
  </si>
  <si>
    <t xml:space="preserve">[2] CMA CGM RIO GRANDE</t>
  </si>
  <si>
    <t xml:space="preserve">draft</t>
  </si>
  <si>
    <t xml:space="preserve">Maatgevende diepgang regulier</t>
  </si>
  <si>
    <t xml:space="preserve">[2] Geen onvoorwaardelijke toelating bij T = 15,0 m</t>
  </si>
  <si>
    <t xml:space="preserve">squat</t>
  </si>
  <si>
    <t xml:space="preserve">Squat</t>
  </si>
  <si>
    <t xml:space="preserve">Dynamisch berekenen na snelheid en bodemprofiel</t>
  </si>
  <si>
    <t xml:space="preserve">wave</t>
  </si>
  <si>
    <t xml:space="preserve">Verticale golfbeweging</t>
  </si>
  <si>
    <t xml:space="preserve">Geen afgeleide van enkel Hs; scheepsrespons nodig</t>
  </si>
  <si>
    <t xml:space="preserve">trim</t>
  </si>
  <si>
    <t xml:space="preserve">Dichtheid en trim</t>
  </si>
  <si>
    <t xml:space="preserve">Belading en dichtheid nader controleren</t>
  </si>
  <si>
    <t xml:space="preserve">ukc</t>
  </si>
  <si>
    <t xml:space="preserve">Netto kielspeling</t>
  </si>
  <si>
    <t xml:space="preserve">Risicokeuze, toets op harde bodem</t>
  </si>
  <si>
    <t xml:space="preserve">maint</t>
  </si>
  <si>
    <t xml:space="preserve">Survey en onderhoud</t>
  </si>
  <si>
    <t xml:space="preserve">Aparte component t.o.v. netto UKC</t>
  </si>
  <si>
    <t xml:space="preserve">dredgeTol</t>
  </si>
  <si>
    <t xml:space="preserve">Baggertolerantie</t>
  </si>
  <si>
    <t xml:space="preserve">Uitvoeringsmarge</t>
  </si>
  <si>
    <t xml:space="preserve">reserve</t>
  </si>
  <si>
    <t xml:space="preserve">Extra dieptemarge</t>
  </si>
  <si>
    <t xml:space="preserve">Oude bodemhypothese -18,20 m herleidbaar gemaakt</t>
  </si>
  <si>
    <t xml:space="preserve">turnFac</t>
  </si>
  <si>
    <t xml:space="preserve">Diameter draaicirkel / LOA</t>
  </si>
  <si>
    <t xml:space="preserve">Met tug-assist; geen universele PIANC-factor</t>
  </si>
  <si>
    <t xml:space="preserve">turn</t>
  </si>
  <si>
    <t xml:space="preserve">Gereserveerde draaicirkel</t>
  </si>
  <si>
    <t xml:space="preserve">mouth</t>
  </si>
  <si>
    <t xml:space="preserve">Havenmond breedte</t>
  </si>
  <si>
    <t xml:space="preserve">Tussen obstakels, niet tussen getekende hartlijnen</t>
  </si>
  <si>
    <t xml:space="preserve">vesselSpeed</t>
  </si>
  <si>
    <t xml:space="preserve">Concept vaarsnelheid</t>
  </si>
  <si>
    <t xml:space="preserve">knopen</t>
  </si>
  <si>
    <t xml:space="preserve">PIANC slow: 5 tot 8 knopen</t>
  </si>
  <si>
    <t xml:space="preserve">Bronnenregister - invoerstatus is bepalend, getallen zonder bron zijn projectaannamen</t>
  </si>
  <si>
    <t xml:space="preserve">Titel</t>
  </si>
  <si>
    <t xml:space="preserve">Auteur</t>
  </si>
  <si>
    <t xml:space="preserve">Bestand of link</t>
  </si>
  <si>
    <t xml:space="preserve">[1]</t>
  </si>
  <si>
    <t xml:space="preserve">PPD-A Case Study</t>
  </si>
  <si>
    <t xml:space="preserve">NHL Stenden</t>
  </si>
  <si>
    <t xml:space="preserve">Cursusbestand, p.1-4; onderwijsvolumes en randvoorwaarden</t>
  </si>
  <si>
    <t xml:space="preserve">[2]</t>
  </si>
  <si>
    <t xml:space="preserve">Rapport_groep1_26-27 en scheepsonderzoek ontwerpgrenzen</t>
  </si>
  <si>
    <t xml:space="preserve">Projectgroep 1</t>
  </si>
  <si>
    <t xml:space="preserve">Huidige documenten, gelezen 22-10-2026; brongegevens schepen als invoer</t>
  </si>
  <si>
    <t xml:space="preserve">[3]</t>
  </si>
  <si>
    <t xml:space="preserve">Harbour Approach Channels Design Guidelines WG121</t>
  </si>
  <si>
    <t xml:space="preserve">PIANC 2014</t>
  </si>
  <si>
    <t xml:space="preserve">Aangeleverd cursus-PDF; par.3.1.5, tab.3.4-3.6, p.86-89</t>
  </si>
  <si>
    <t xml:space="preserve">[4]</t>
  </si>
  <si>
    <t xml:space="preserve">Porto Central soil information</t>
  </si>
  <si>
    <t xml:space="preserve">Cursusbestand, bodemverdeling en verbod hergebruik</t>
  </si>
  <si>
    <t xml:space="preserve">[5]</t>
  </si>
  <si>
    <t xml:space="preserve">Terminal Visit 16/09/22</t>
  </si>
  <si>
    <t xml:space="preserve">Gate terminal 2022</t>
  </si>
  <si>
    <t xml:space="preserve">Aangeleverd cursusbestand, slides6-8: 600,7MWh/m3,3tanks totaal540000m3</t>
  </si>
  <si>
    <t xml:space="preserve">[6]</t>
  </si>
  <si>
    <t xml:space="preserve">O Caso Porto Central</t>
  </si>
  <si>
    <t xml:space="preserve">Porto Central / José Ferro da Cunha Lima 2016</t>
  </si>
  <si>
    <t xml:space="preserve">https://portal.antt.gov.br/documents/20122/358563/jose_ferro_lima__porto_central.pdf/2f561adb-51c5-7d3b-f7e6-f9c4d289e328?download=true&amp;t=1591713905387&amp;version=1.0</t>
  </si>
  <si>
    <t xml:space="preserve">[7]</t>
  </si>
  <si>
    <t xml:space="preserve">About Porto Central / Layout</t>
  </si>
  <si>
    <t xml:space="preserve">Porto Central</t>
  </si>
  <si>
    <t xml:space="preserve">https://www.portocentral.com.br/en/o-porto/</t>
  </si>
  <si>
    <t xml:space="preserve">[8]</t>
  </si>
  <si>
    <t xml:space="preserve">Phase1 construction update</t>
  </si>
  <si>
    <t xml:space="preserve">Porto Central 16-09-2026</t>
  </si>
  <si>
    <t xml:space="preserve">https://www.portocentral.com.br/en/blog/porto-central-avanca-nas-obras-da-fase-1-e-prepara-inicio-da-infraestrutura-maritima/</t>
  </si>
  <si>
    <t xml:space="preserve">[9]</t>
  </si>
  <si>
    <t xml:space="preserve">Haven DO en geometriecontrole</t>
  </si>
  <si>
    <t xml:space="preserve">Projectgroep</t>
  </si>
  <si>
    <t xml:space="preserve">Haven_DO.dwg en Controle_Haven_DO.pdf, 23 oktober 2026. Objectcodes staan bij de gemeten invoer.</t>
  </si>
  <si>
    <t xml:space="preserve">Gemeten ontwerp uit Haven DO en aanvullende bedrijfsinvoer</t>
  </si>
  <si>
    <t xml:space="preserve">Bron Haven_DO.dwg</t>
  </si>
  <si>
    <t xml:space="preserve">23 oktober 2026. Eindfasewaarden gelden vanaf fase 1 waar geen andere fasering is getekend; dit is een rekenaanname.</t>
  </si>
  <si>
    <t xml:space="preserve">widthStraight</t>
  </si>
  <si>
    <t xml:space="preserve">Getekende rechte geulbreedte</t>
  </si>
  <si>
    <t xml:space="preserve">Loodrechte steekproefdoorsneden op as 1E5</t>
  </si>
  <si>
    <t xml:space="preserve">widthCurve</t>
  </si>
  <si>
    <t xml:space="preserve">Getekende breedte geulbocht</t>
  </si>
  <si>
    <t xml:space="preserve">Bochtdeel geulpolygoon 1E3</t>
  </si>
  <si>
    <t xml:space="preserve">curveR</t>
  </si>
  <si>
    <t xml:space="preserve">As 1E5, boog uit drie punten</t>
  </si>
  <si>
    <t xml:space="preserve">curveAngle</t>
  </si>
  <si>
    <t xml:space="preserve">Richtingsverandering geul</t>
  </si>
  <si>
    <t xml:space="preserve">graden</t>
  </si>
  <si>
    <t xml:space="preserve">As 1E5, totale hoekverandering</t>
  </si>
  <si>
    <t xml:space="preserve">axis</t>
  </si>
  <si>
    <t xml:space="preserve">Totale lengte hoofdgeulas</t>
  </si>
  <si>
    <t xml:space="preserve">1E5; damhartlijnen 1DF en 1E2 uitgesloten</t>
  </si>
  <si>
    <t xml:space="preserve">stop</t>
  </si>
  <si>
    <t xml:space="preserve">Asdeel binnen de havenmond</t>
  </si>
  <si>
    <t xml:space="preserve">Eerste segment 1E5; ook stopweg</t>
  </si>
  <si>
    <t xml:space="preserve">turnOuter</t>
  </si>
  <si>
    <t xml:space="preserve">Diameter buitenste draaikom</t>
  </si>
  <si>
    <t xml:space="preserve">1E6</t>
  </si>
  <si>
    <t xml:space="preserve">turnInner</t>
  </si>
  <si>
    <t xml:space="preserve">Diameter binnenste zwaaiplaats</t>
  </si>
  <si>
    <t xml:space="preserve">1ED</t>
  </si>
  <si>
    <t xml:space="preserve">depthC</t>
  </si>
  <si>
    <t xml:space="preserve">Diepte hoofdgeul en containerbekken</t>
  </si>
  <si>
    <t xml:space="preserve">Tekst in DWG</t>
  </si>
  <si>
    <t xml:space="preserve">474, 489, 48C; positief naar beneden; datum voorlopig</t>
  </si>
  <si>
    <t xml:space="preserve">depthL</t>
  </si>
  <si>
    <t xml:space="preserve">48D; positief naar beneden</t>
  </si>
  <si>
    <t xml:space="preserve">depthR</t>
  </si>
  <si>
    <t xml:space="preserve">490; positief naar beneden</t>
  </si>
  <si>
    <t xml:space="preserve">draftL</t>
  </si>
  <si>
    <t xml:space="preserve">Diepgang LNG-referentie</t>
  </si>
  <si>
    <t xml:space="preserve">GASLOG GREECE; eerdere scheepsgegevens</t>
  </si>
  <si>
    <t xml:space="preserve">draftR</t>
  </si>
  <si>
    <t xml:space="preserve">Diepgang RoRo-referentie voor toets</t>
  </si>
  <si>
    <t xml:space="preserve">BYD SHENZHEN; bovengrens eerdere 9,2-10 m</t>
  </si>
  <si>
    <t xml:space="preserve">draftB</t>
  </si>
  <si>
    <t xml:space="preserve">Diepgang graanreferentie</t>
  </si>
  <si>
    <t xml:space="preserve">KIRA OLDENDORFF</t>
  </si>
  <si>
    <t xml:space="preserve">ctModule</t>
  </si>
  <si>
    <t xml:space="preserve">Gemeten containerkade per plaats</t>
  </si>
  <si>
    <t xml:space="preserve">1FA / 1FD / 200 / 203, elk dezelfde lengte</t>
  </si>
  <si>
    <t xml:space="preserve">ctYard</t>
  </si>
  <si>
    <t xml:space="preserve">Cumulatief containerterrein</t>
  </si>
  <si>
    <t xml:space="preserve">1F4; daarna +1F6 en +1F8 volgens fasegrenzen</t>
  </si>
  <si>
    <t xml:space="preserve">Graan hoofdterrein</t>
  </si>
  <si>
    <t xml:space="preserve">214; 216 en loods liggen hierin</t>
  </si>
  <si>
    <t xml:space="preserve">subB</t>
  </si>
  <si>
    <t xml:space="preserve">Graan opslagdeel binnen perceel</t>
  </si>
  <si>
    <t xml:space="preserve">216; niet bovenop hoofdterrein optellen</t>
  </si>
  <si>
    <t xml:space="preserve">quayB</t>
  </si>
  <si>
    <t xml:space="preserve">Gemeten graankade</t>
  </si>
  <si>
    <t xml:space="preserve">21B; lijn 21C niet als extra ligplaats tellen</t>
  </si>
  <si>
    <t xml:space="preserve">RoRo hoofdterrein</t>
  </si>
  <si>
    <t xml:space="preserve">208; rampdeel 20D ligt binnen perceel</t>
  </si>
  <si>
    <t xml:space="preserve">quayR</t>
  </si>
  <si>
    <t xml:space="preserve">Gemeten RoRo-kade</t>
  </si>
  <si>
    <t xml:space="preserve">20A</t>
  </si>
  <si>
    <t xml:space="preserve">parkR</t>
  </si>
  <si>
    <t xml:space="preserve">RoRo aangewezen parkeervlakken</t>
  </si>
  <si>
    <t xml:space="preserve">7 parkeervlakken binnen 208; eindfase, vanaf fase 1 als rekenaanname</t>
  </si>
  <si>
    <t xml:space="preserve">areaL</t>
  </si>
  <si>
    <t xml:space="preserve">LNG hoofdterrein</t>
  </si>
  <si>
    <t xml:space="preserve">21F; strook 229 en tankcirkels niet apart optellen</t>
  </si>
  <si>
    <t xml:space="preserve">areaP</t>
  </si>
  <si>
    <t xml:space="preserve">Centrale en utilities</t>
  </si>
  <si>
    <t xml:space="preserve">22B; geen afleiding van elektrisch vermogen</t>
  </si>
  <si>
    <t xml:space="preserve">areaS</t>
  </si>
  <si>
    <t xml:space="preserve">Havendienst</t>
  </si>
  <si>
    <t xml:space="preserve">219</t>
  </si>
  <si>
    <t xml:space="preserve">areaReserve</t>
  </si>
  <si>
    <t xml:space="preserve">Reserve na 2045</t>
  </si>
  <si>
    <t xml:space="preserve">212</t>
  </si>
  <si>
    <t xml:space="preserve">stackArea</t>
  </si>
  <si>
    <t xml:space="preserve">Reguliere stackblokken per fase</t>
  </si>
  <si>
    <t xml:space="preserve">94 blokken; oppervlakte geknipt op cumulatieve fasevlakken</t>
  </si>
  <si>
    <t xml:space="preserve">reeferArea</t>
  </si>
  <si>
    <t xml:space="preserve">Reefervakken per fase</t>
  </si>
  <si>
    <t xml:space="preserve">3 vakken, allemaal in eerste terreinvlak</t>
  </si>
  <si>
    <t xml:space="preserve">emptyArea</t>
  </si>
  <si>
    <t xml:space="preserve">Aparte vakken lege containers</t>
  </si>
  <si>
    <t xml:space="preserve">3 vakken alleen in laatste terreinvlak; 0 is geen aparte ruimte in die fase</t>
  </si>
  <si>
    <t xml:space="preserve">usableSlots</t>
  </si>
  <si>
    <t xml:space="preserve">Bruikbare TEU-grondslots totaal</t>
  </si>
  <si>
    <t xml:space="preserve">slots</t>
  </si>
  <si>
    <t xml:space="preserve">Nog invullen</t>
  </si>
  <si>
    <t xml:space="preserve">Uit getekende stackblokken DO-06 (HV-D-STACK) per fase, 28 m2 per TEU-grondslot; lege containers in de reguliere blokken</t>
  </si>
  <si>
    <t xml:space="preserve">emptySlots</t>
  </si>
  <si>
    <t xml:space="preserve">Bruikbare grondslots lege containers</t>
  </si>
  <si>
    <t xml:space="preserve">Mag toegewezen ruimte in reguliere blokken omvatten; niet bovenop totaal tellen</t>
  </si>
  <si>
    <t xml:space="preserve">footprint</t>
  </si>
  <si>
    <t xml:space="preserve">TEU-voetafdruk voor bovengrens</t>
  </si>
  <si>
    <t xml:space="preserve">m2/TEU</t>
  </si>
  <si>
    <t xml:space="preserve">Zeer dicht geometrisch maximum zonder rijruimte; geen operationele slotmaat</t>
  </si>
  <si>
    <t xml:space="preserve">siloN</t>
  </si>
  <si>
    <t xml:space="preserve">Aantal graansilo’s</t>
  </si>
  <si>
    <t xml:space="preserve">Getekend</t>
  </si>
  <si>
    <t xml:space="preserve">HV-D-OPSLAG 343 t/m 351</t>
  </si>
  <si>
    <t xml:space="preserve">siloD</t>
  </si>
  <si>
    <t xml:space="preserve">Nominale silodiameter</t>
  </si>
  <si>
    <t xml:space="preserve">74F: 8 x D30 m; gemeten cirkels circa 30,1 m</t>
  </si>
  <si>
    <t xml:space="preserve">siloH</t>
  </si>
  <si>
    <t xml:space="preserve">Aangegeven silohoogte</t>
  </si>
  <si>
    <t xml:space="preserve">74F; cilinderhoogte en bruikbaarheid nog bevestigen</t>
  </si>
  <si>
    <t xml:space="preserve">siloFill</t>
  </si>
  <si>
    <t xml:space="preserve">Benutting bruto silocilinder</t>
  </si>
  <si>
    <t xml:space="preserve">Indicatief scenario uit controleverslag; geen productspecificatie</t>
  </si>
  <si>
    <t xml:space="preserve">loftArea</t>
  </si>
  <si>
    <t xml:space="preserve">Voetafdruk vlakke graanopslag</t>
  </si>
  <si>
    <t xml:space="preserve">353; binnen hoofdperceel</t>
  </si>
  <si>
    <t xml:space="preserve">loftHeight</t>
  </si>
  <si>
    <t xml:space="preserve">Bruikbare hoogte opslagloods</t>
  </si>
  <si>
    <t xml:space="preserve">Aanname: stortgoed in loods tot 6 m bruikbare hoogte (te bevestigen met operator)</t>
  </si>
  <si>
    <t xml:space="preserve">loftUse</t>
  </si>
  <si>
    <t xml:space="preserve">Bruikbaar aandeel loodsvloer</t>
  </si>
  <si>
    <t xml:space="preserve">Aanname: 60% van de loodsvloer bruikbaar voor opslag (rest rijpaden, transportband)</t>
  </si>
  <si>
    <t xml:space="preserve">stsDrawn</t>
  </si>
  <si>
    <t xml:space="preserve">STS-kranen getekend in eindfase</t>
  </si>
  <si>
    <t xml:space="preserve">Geteld in DWG</t>
  </si>
  <si>
    <t xml:space="preserve">20 gelijke kraansymbolen; inzet 6/12/20 blijft gefaseerde rekenaanname</t>
  </si>
  <si>
    <t xml:space="preserve">tankCircles</t>
  </si>
  <si>
    <t xml:space="preserve">Tankcirkels hoofdlaag</t>
  </si>
  <si>
    <t xml:space="preserve">221 / 223 / 225 / 227</t>
  </si>
  <si>
    <t xml:space="preserve">tankDetails</t>
  </si>
  <si>
    <t xml:space="preserve">Uitgewerkte tankopstellingen</t>
  </si>
  <si>
    <t xml:space="preserve">38C / 390 / 394 met binnencontouren</t>
  </si>
  <si>
    <t xml:space="preserve">jetLen</t>
  </si>
  <si>
    <t xml:space="preserve">LNG-ligplaatsenvelop lengte</t>
  </si>
  <si>
    <t xml:space="preserve">231; geen gemeten kadefront</t>
  </si>
  <si>
    <t xml:space="preserve">jetWidth</t>
  </si>
  <si>
    <t xml:space="preserve">LNG-ligplaatsenvelop breedte</t>
  </si>
  <si>
    <t xml:space="preserve">231</t>
  </si>
  <si>
    <t xml:space="preserve">regasN</t>
  </si>
  <si>
    <t xml:space="preserve">Hervergassingseenheden</t>
  </si>
  <si>
    <t xml:space="preserve">622 / 8xx: 4 x 33%</t>
  </si>
  <si>
    <t xml:space="preserve">regasShare</t>
  </si>
  <si>
    <t xml:space="preserve">Nominaal aandeel per regas-eenheid</t>
  </si>
  <si>
    <t xml:space="preserve">Afgerond label; absolute capaciteit niet gegeven</t>
  </si>
  <si>
    <t xml:space="preserve">regasUnit</t>
  </si>
  <si>
    <t xml:space="preserve">Capaciteit per regas-eenheid</t>
  </si>
  <si>
    <t xml:space="preserve">m3 LNG/uur</t>
  </si>
  <si>
    <t xml:space="preserve">LNG-equivalente capaciteit, niet Nm3 gas per uur</t>
  </si>
  <si>
    <t xml:space="preserve">railN</t>
  </si>
  <si>
    <t xml:space="preserve">Containeropstelsporen</t>
  </si>
  <si>
    <t xml:space="preserve">32C t/m 330</t>
  </si>
  <si>
    <t xml:space="preserve">railLen</t>
  </si>
  <si>
    <t xml:space="preserve">Lengte containeropstelspoor</t>
  </si>
  <si>
    <t xml:space="preserve">32C t/m 330; per spoor</t>
  </si>
  <si>
    <t xml:space="preserve">grainRailN</t>
  </si>
  <si>
    <t xml:space="preserve">Graanopstelsporen</t>
  </si>
  <si>
    <t xml:space="preserve">365 / 366</t>
  </si>
  <si>
    <t xml:space="preserve">grainRailLen</t>
  </si>
  <si>
    <t xml:space="preserve">Lengte graanopstelspoor</t>
  </si>
  <si>
    <t xml:space="preserve">365 / 366, afgerond op 0,1 m</t>
  </si>
  <si>
    <t xml:space="preserve">gateIn</t>
  </si>
  <si>
    <t xml:space="preserve">Gate inkomende posities</t>
  </si>
  <si>
    <t xml:space="preserve">Gate 10 in + 10 uit; piekuurcapaciteit niet aangetoond</t>
  </si>
  <si>
    <t xml:space="preserve">gateOut</t>
  </si>
  <si>
    <t xml:space="preserve">Gate uitgaande posities</t>
  </si>
  <si>
    <t xml:space="preserve">Gate 10 in + 10 uit</t>
  </si>
  <si>
    <t xml:space="preserve">basinGross</t>
  </si>
  <si>
    <t xml:space="preserve">Nieuwe hoofdkom bruto</t>
  </si>
  <si>
    <t xml:space="preserve">Hoofdbekken incl. zwaaiplaats D 670 m (Haven_DO v8.3, polygoon HV-BAGGER "Hoofdbekken -18,20"); was 769.413 m2 (oudere kom)</t>
  </si>
  <si>
    <t xml:space="preserve">basinOverlap</t>
  </si>
  <si>
    <t xml:space="preserve">Overlap nieuwe kom met voorhaven</t>
  </si>
  <si>
    <t xml:space="preserve">Geometrische bewerking</t>
  </si>
  <si>
    <t xml:space="preserve">Overlap hoofdbekken met "Voorhaven + toegang" (v8.3); één keer aftrekken</t>
  </si>
  <si>
    <t xml:space="preserve">Netto parkeervak per auto (aangewezen vakken)</t>
  </si>
  <si>
    <t xml:space="preserve">2,5 x 5,0 m; de 7 parkeervakken zijn netto (rijpaden liggen ertussen). 30 m2 (D45) geldt voor het hele terrein incl. rijruimte</t>
  </si>
  <si>
    <t xml:space="preserve">Nautiek</t>
  </si>
  <si>
    <t xml:space="preserve">Breedtecomponent</t>
  </si>
  <si>
    <t xml:space="preserve">Factor B</t>
  </si>
  <si>
    <t xml:space="preserve">Meter</t>
  </si>
  <si>
    <t xml:space="preserve">Bron</t>
  </si>
  <si>
    <t xml:space="preserve">Voorwaarde</t>
  </si>
  <si>
    <t xml:space="preserve">N01</t>
  </si>
  <si>
    <t xml:space="preserve">Basismanoeuvreerbaan</t>
  </si>
  <si>
    <t xml:space="preserve">PIANC tab.3.4</t>
  </si>
  <si>
    <t xml:space="preserve">Containerschip matig manoeuvreerbaar</t>
  </si>
  <si>
    <t xml:space="preserve">N02</t>
  </si>
  <si>
    <t xml:space="preserve">Vaarsnelheid</t>
  </si>
  <si>
    <t xml:space="preserve">PIANC tab.3.5(a)</t>
  </si>
  <si>
    <t xml:space="preserve">6kn, slow: geen aparte snelheidsbreedte</t>
  </si>
  <si>
    <t xml:space="preserve">N03</t>
  </si>
  <si>
    <t xml:space="preserve">Dwarswind</t>
  </si>
  <si>
    <t xml:space="preserve">PIANC tab.3.5(b)</t>
  </si>
  <si>
    <t xml:space="preserve">Moderate15-33kn; operationele grens nog toetsen</t>
  </si>
  <si>
    <t xml:space="preserve">N04</t>
  </si>
  <si>
    <t xml:space="preserve">Dwarsstroom</t>
  </si>
  <si>
    <t xml:space="preserve">PIANC tab.3.5(c)</t>
  </si>
  <si>
    <t xml:space="preserve">Moderate0,5-1,5kn; conservatieve onbevestigde klasse</t>
  </si>
  <si>
    <t xml:space="preserve">N05</t>
  </si>
  <si>
    <t xml:space="preserve">Langsstroom</t>
  </si>
  <si>
    <t xml:space="preserve">PIANC tab.3.5(d)</t>
  </si>
  <si>
    <t xml:space="preserve">Laag &lt;1,5kn aangenomen</t>
  </si>
  <si>
    <t xml:space="preserve">N06</t>
  </si>
  <si>
    <t xml:space="preserve">Golven dwars / schuin achter</t>
  </si>
  <si>
    <t xml:space="preserve">PIANC tab.3.5(e)</t>
  </si>
  <si>
    <t xml:space="preserve">Hs1-3m, richting nog vast te leggen</t>
  </si>
  <si>
    <t xml:space="preserve">N07</t>
  </si>
  <si>
    <t xml:space="preserve">Navigatiehulpmiddelen</t>
  </si>
  <si>
    <t xml:space="preserve">PIANC tab.3.5(f)</t>
  </si>
  <si>
    <t xml:space="preserve">Goede betonning, loodsen en DGPS voorzien</t>
  </si>
  <si>
    <t xml:space="preserve">N08</t>
  </si>
  <si>
    <t xml:space="preserve">Bodemoppervlak</t>
  </si>
  <si>
    <t xml:space="preserve">PIANC tab.3.5(g)</t>
  </si>
  <si>
    <t xml:space="preserve">Conservatief hard/ruw; h&lt;1,5T</t>
  </si>
  <si>
    <t xml:space="preserve">N09</t>
  </si>
  <si>
    <t xml:space="preserve">Relatieve waterdiepte</t>
  </si>
  <si>
    <t xml:space="preserve">PIANC tab.3.5(h)</t>
  </si>
  <si>
    <t xml:space="preserve">1,25 &lt;= h/T &lt;1,5 voor buitengeul</t>
  </si>
  <si>
    <t xml:space="preserve">N10</t>
  </si>
  <si>
    <t xml:space="preserve">Oevermarge links</t>
  </si>
  <si>
    <t xml:space="preserve">PIANC tab.3.6</t>
  </si>
  <si>
    <t xml:space="preserve">Talud/ondiepte, slow; geen harde verticale oever</t>
  </si>
  <si>
    <t xml:space="preserve">N11</t>
  </si>
  <si>
    <t xml:space="preserve">Oevermarge rechts</t>
  </si>
  <si>
    <t xml:space="preserve">Som breedtefactoren</t>
  </si>
  <si>
    <t xml:space="preserve">Benodigde rechte buitengeul</t>
  </si>
  <si>
    <t xml:space="preserve">Verticale maatvoering en manoeuvreren</t>
  </si>
  <si>
    <t xml:space="preserve">N12</t>
  </si>
  <si>
    <t xml:space="preserve">Som benodigde diepte</t>
  </si>
  <si>
    <t xml:space="preserve">Alle componenten als invoer zichtbaar</t>
  </si>
  <si>
    <t xml:space="preserve">N13</t>
  </si>
  <si>
    <t xml:space="preserve">Getekende hoofdgeuldiepte</t>
  </si>
  <si>
    <t xml:space="preserve">−18,20 m als tekst in DWG; verticale datum nog controleren</t>
  </si>
  <si>
    <t xml:space="preserve">N14</t>
  </si>
  <si>
    <t xml:space="preserve">Verhouding h/T</t>
  </si>
  <si>
    <t xml:space="preserve">Controle op gekozen dieptefactor</t>
  </si>
  <si>
    <t xml:space="preserve">N15</t>
  </si>
  <si>
    <t xml:space="preserve">Vereiste draaicirkel</t>
  </si>
  <si>
    <t xml:space="preserve">Projectcriterium, geen universele richtlijn</t>
  </si>
  <si>
    <t xml:space="preserve">N16</t>
  </si>
  <si>
    <t xml:space="preserve">Buitenste draaikom 1E6; binnenste zwaaiplaats apart hieronder</t>
  </si>
  <si>
    <t xml:space="preserve">N17</t>
  </si>
  <si>
    <t xml:space="preserve">Tussen obstakels op bodemniveau toetsen</t>
  </si>
  <si>
    <t xml:space="preserve">N18</t>
  </si>
  <si>
    <t xml:space="preserve">Marge kanaalbreedte</t>
  </si>
  <si>
    <t xml:space="preserve">Geen extra veiligheidsklasse</t>
  </si>
  <si>
    <t xml:space="preserve">N19</t>
  </si>
  <si>
    <t xml:space="preserve">Kanaallengte</t>
  </si>
  <si>
    <t xml:space="preserve">As 1E5; exclusief de twee damhartlijnen op dezelfde laag</t>
  </si>
  <si>
    <t xml:space="preserve">N20</t>
  </si>
  <si>
    <t xml:space="preserve">Indicatieve vaartijd enkele reis</t>
  </si>
  <si>
    <t xml:space="preserve">uur</t>
  </si>
  <si>
    <t xml:space="preserve">Vaartijd exclusief scheiding, sleepboten en wachten</t>
  </si>
  <si>
    <t xml:space="preserve">Gevoeligheid bij dezelfde omstandigheden</t>
  </si>
  <si>
    <t xml:space="preserve">Schipscenario</t>
  </si>
  <si>
    <t xml:space="preserve">Breedte m</t>
  </si>
  <si>
    <t xml:space="preserve">Basisfactor</t>
  </si>
  <si>
    <t xml:space="preserve">Extra factor</t>
  </si>
  <si>
    <t xml:space="preserve">Benodigde m</t>
  </si>
  <si>
    <t xml:space="preserve">S1</t>
  </si>
  <si>
    <t xml:space="preserve">Reguliere container</t>
  </si>
  <si>
    <t xml:space="preserve">S2</t>
  </si>
  <si>
    <t xml:space="preserve">GASLOG GREECE</t>
  </si>
  <si>
    <t xml:space="preserve">S3</t>
  </si>
  <si>
    <t xml:space="preserve">S4</t>
  </si>
  <si>
    <t xml:space="preserve">BYD SHENZHEN</t>
  </si>
  <si>
    <t xml:space="preserve">S5</t>
  </si>
  <si>
    <t xml:space="preserve">MOZAH grensscenario</t>
  </si>
  <si>
    <t xml:space="preserve">Aanvullende nautische maten uit de tekening</t>
  </si>
  <si>
    <t xml:space="preserve">1ED; afzonderlijk van buitenste draaikom</t>
  </si>
  <si>
    <t xml:space="preserve">Getekende bochtbreedte</t>
  </si>
  <si>
    <t xml:space="preserve">40 m breder dan recht deel; nautische toets nog nodig</t>
  </si>
  <si>
    <t xml:space="preserve">Straal van de geulbocht</t>
  </si>
  <si>
    <t xml:space="preserve">Gemeten asgeometrie</t>
  </si>
  <si>
    <t xml:space="preserve">Richtingsverandering</t>
  </si>
  <si>
    <t xml:space="preserve">Stopweg binnen de havenmond</t>
  </si>
  <si>
    <t xml:space="preserve">Asdeel in voorhaven, niet extra bij geullengte optellen</t>
  </si>
  <si>
    <t xml:space="preserve">Geullengte buiten de mond</t>
  </si>
  <si>
    <t xml:space="preserve">Van mond tot getekend geuleinde; aansluiting dieptecontour nog controleren</t>
  </si>
  <si>
    <t xml:space="preserve">Vaartijd buiten de mond</t>
  </si>
  <si>
    <t xml:space="preserve">Alleen vaartijd bij dezelfde 6 knopen</t>
  </si>
  <si>
    <t xml:space="preserve">Binnenste diameter gedeeld door LOA</t>
  </si>
  <si>
    <t xml:space="preserve">Circa 2,0; eerder criterium is 2,1</t>
  </si>
  <si>
    <t xml:space="preserve">Marge binnenste kom tegen 2,1 LOA</t>
  </si>
  <si>
    <t xml:space="preserve">Negatief betekent ander criterium of grotere kom nodig</t>
  </si>
  <si>
    <t xml:space="preserve">Toets binnenste zwaaiplaats</t>
  </si>
  <si>
    <t xml:space="preserve">Geen universele PIANC-minimumdiameter</t>
  </si>
  <si>
    <t xml:space="preserve">Diepte per route met de eerder gebruikte toeslagen</t>
  </si>
  <si>
    <t xml:space="preserve">Route of terminal</t>
  </si>
  <si>
    <t xml:space="preserve">Diepgang m</t>
  </si>
  <si>
    <t xml:space="preserve">Getekend m</t>
  </si>
  <si>
    <t xml:space="preserve">Benodigd m</t>
  </si>
  <si>
    <t xml:space="preserve">Marge m</t>
  </si>
  <si>
    <t xml:space="preserve">Toets</t>
  </si>
  <si>
    <t xml:space="preserve">Toelichting</t>
  </si>
  <si>
    <t xml:space="preserve">DEP1</t>
  </si>
  <si>
    <t xml:space="preserve">Containers en hoofdgeul</t>
  </si>
  <si>
    <t xml:space="preserve">Gelijke toeslagen als vroeger; per schip en verticaal datum nog onderbouwen.</t>
  </si>
  <si>
    <t xml:space="preserve">DEP2</t>
  </si>
  <si>
    <t xml:space="preserve">Graan</t>
  </si>
  <si>
    <t xml:space="preserve">DEP3</t>
  </si>
  <si>
    <t xml:space="preserve">LNG</t>
  </si>
  <si>
    <t xml:space="preserve">DEP4</t>
  </si>
  <si>
    <t xml:space="preserve">RoRo</t>
  </si>
  <si>
    <t xml:space="preserve">Containers</t>
  </si>
  <si>
    <t xml:space="preserve">Berekening</t>
  </si>
  <si>
    <t xml:space="preserve">C01</t>
  </si>
  <si>
    <t xml:space="preserve">TEU per fysieke container</t>
  </si>
  <si>
    <t xml:space="preserve">TEU/box</t>
  </si>
  <si>
    <t xml:space="preserve">N20 = 1,2 N40; box is één fysieke container</t>
  </si>
  <si>
    <t xml:space="preserve">C02</t>
  </si>
  <si>
    <t xml:space="preserve">Jaarlijkse kraanbewegingen</t>
  </si>
  <si>
    <t xml:space="preserve">box/jaar</t>
  </si>
  <si>
    <t xml:space="preserve">Eén kadetransfer per box; rehandles apart</t>
  </si>
  <si>
    <t xml:space="preserve">C03</t>
  </si>
  <si>
    <t xml:space="preserve">Gemiddelde containercalls</t>
  </si>
  <si>
    <t xml:space="preserve">Gemiddeld; afgeronde planning staat eronder</t>
  </si>
  <si>
    <t xml:space="preserve">C04</t>
  </si>
  <si>
    <t xml:space="preserve">Calls afgerond naar boven</t>
  </si>
  <si>
    <t xml:space="preserve">Voor planning en verkeersbelasting</t>
  </si>
  <si>
    <t xml:space="preserve">C05</t>
  </si>
  <si>
    <t xml:space="preserve">Kraanbewegingen per call</t>
  </si>
  <si>
    <t xml:space="preserve">box/call</t>
  </si>
  <si>
    <t xml:space="preserve">Parcel is kadedoorzet; geen gehele scheepscapaciteit</t>
  </si>
  <si>
    <t xml:space="preserve">C06</t>
  </si>
  <si>
    <t xml:space="preserve">Effectieve scheepsproductiviteit</t>
  </si>
  <si>
    <t xml:space="preserve">box/uur</t>
  </si>
  <si>
    <t xml:space="preserve">Netto productiviteit per kraan x gelijktijdige kranen</t>
  </si>
  <si>
    <t xml:space="preserve">C07</t>
  </si>
  <si>
    <t xml:space="preserve">Overslag plus overige tijd</t>
  </si>
  <si>
    <t xml:space="preserve">Vervangt de oude vaste aanname van 28 uur</t>
  </si>
  <si>
    <t xml:space="preserve">C08</t>
  </si>
  <si>
    <t xml:space="preserve">Ligplaatsuren totaal</t>
  </si>
  <si>
    <t xml:space="preserve">uur/jaar</t>
  </si>
  <si>
    <t xml:space="preserve">Afgeronde calls voor conservatieve bezetting</t>
  </si>
  <si>
    <t xml:space="preserve">C09</t>
  </si>
  <si>
    <t xml:space="preserve">Beschikbare uren per berth</t>
  </si>
  <si>
    <t xml:space="preserve">5% totale berthuitval als ontwerphypothese</t>
  </si>
  <si>
    <t xml:space="preserve">C10</t>
  </si>
  <si>
    <t xml:space="preserve">Benodigde containerligplaatsen</t>
  </si>
  <si>
    <t xml:space="preserve">Toets is capaciteitsberekening, geen wachtrijbewijs</t>
  </si>
  <si>
    <t xml:space="preserve">C11</t>
  </si>
  <si>
    <t xml:space="preserve">Intekenen na keuze</t>
  </si>
  <si>
    <t xml:space="preserve">C12</t>
  </si>
  <si>
    <t xml:space="preserve">Bezetting geplande kades</t>
  </si>
  <si>
    <t xml:space="preserve">Vergeleken met projectcriterium 65%</t>
  </si>
  <si>
    <t xml:space="preserve">C13</t>
  </si>
  <si>
    <t xml:space="preserve">Containerkade volgens tekening</t>
  </si>
  <si>
    <t xml:space="preserve">Aantal ligplaatsen x gemeten lengte van circa 401,1 m</t>
  </si>
  <si>
    <t xml:space="preserve">C14</t>
  </si>
  <si>
    <t xml:space="preserve">STS-kranen in operatie</t>
  </si>
  <si>
    <t xml:space="preserve">Gelijktijdig bij volledige bezetting; geen onderhoudsreserve</t>
  </si>
  <si>
    <t xml:space="preserve">C15</t>
  </si>
  <si>
    <t xml:space="preserve">Gewogen verblijftijd</t>
  </si>
  <si>
    <t xml:space="preserve">6,2 dagen volgens case</t>
  </si>
  <si>
    <t xml:space="preserve">C16</t>
  </si>
  <si>
    <t xml:space="preserve">Piekvoorraad import</t>
  </si>
  <si>
    <t xml:space="preserve">TEU-dagen; geen extra conversie naar box</t>
  </si>
  <si>
    <t xml:space="preserve">C17</t>
  </si>
  <si>
    <t xml:space="preserve">Piekvoorraad volle export</t>
  </si>
  <si>
    <t xml:space="preserve">C18</t>
  </si>
  <si>
    <t xml:space="preserve">Piekvoorraad lege export</t>
  </si>
  <si>
    <t xml:space="preserve">C19</t>
  </si>
  <si>
    <t xml:space="preserve">Piekvoorraad totaal</t>
  </si>
  <si>
    <t xml:space="preserve">Som van drie stromen</t>
  </si>
  <si>
    <t xml:space="preserve">C20</t>
  </si>
  <si>
    <t xml:space="preserve">Benodigde TEU-grondslots</t>
  </si>
  <si>
    <t xml:space="preserve">3 hoog bij 70% slotbenutting</t>
  </si>
  <si>
    <t xml:space="preserve">C21</t>
  </si>
  <si>
    <t xml:space="preserve">Netto opslagoppervlakte</t>
  </si>
  <si>
    <t xml:space="preserve">28 m2 per TEU-grondslot</t>
  </si>
  <si>
    <t xml:space="preserve">C22</t>
  </si>
  <si>
    <t xml:space="preserve">Containerterminal totaal</t>
  </si>
  <si>
    <t xml:space="preserve">Netto opslag x 1,2; equipmentindeling toetsen</t>
  </si>
  <si>
    <t xml:space="preserve">C23</t>
  </si>
  <si>
    <t xml:space="preserve">Containerterrein volgens tekening</t>
  </si>
  <si>
    <t xml:space="preserve">Cumulatief gemeten fasevlakken uit de DWG</t>
  </si>
  <si>
    <t xml:space="preserve">C24</t>
  </si>
  <si>
    <t xml:space="preserve">Marge terrein</t>
  </si>
  <si>
    <t xml:space="preserve">Alleen terreinmodel; bruikbare opslagvakken hieronder nog toetsen</t>
  </si>
  <si>
    <t xml:space="preserve">C25</t>
  </si>
  <si>
    <t xml:space="preserve">Capaciteitstoets kades</t>
  </si>
  <si>
    <t xml:space="preserve">Geen garantie voor korte wachttijden</t>
  </si>
  <si>
    <t xml:space="preserve">Getekende opslagvakken en bruikbare slots</t>
  </si>
  <si>
    <t xml:space="preserve">C26</t>
  </si>
  <si>
    <t xml:space="preserve">Reguliere stackvakken</t>
  </si>
  <si>
    <t xml:space="preserve">Werkelijke oppervlakte binnen de cumulatieve fasegrens</t>
  </si>
  <si>
    <t xml:space="preserve">C27</t>
  </si>
  <si>
    <t xml:space="preserve">Reefervakken</t>
  </si>
  <si>
    <t xml:space="preserve">Benodigd reeferaandeel en aansluitingen nog niet gegeven</t>
  </si>
  <si>
    <t xml:space="preserve">C28</t>
  </si>
  <si>
    <t xml:space="preserve">In fase 1 en 2 zijn geen aparte lege-vakken getekend</t>
  </si>
  <si>
    <t xml:space="preserve">C29</t>
  </si>
  <si>
    <t xml:space="preserve">Oppervlakte alle opslagblokken</t>
  </si>
  <si>
    <t xml:space="preserve">Geen slotcapaciteit uit alleen oppervlakte afleiden</t>
  </si>
  <si>
    <t xml:space="preserve">C30</t>
  </si>
  <si>
    <t xml:space="preserve">Bruikbare grondslots totaal</t>
  </si>
  <si>
    <t xml:space="preserve">Nog te tellen in de vakindeling</t>
  </si>
  <si>
    <t xml:space="preserve">C31</t>
  </si>
  <si>
    <t xml:space="preserve">Voorraadcapaciteit uit slots</t>
  </si>
  <si>
    <t xml:space="preserve">Slots x gemiddelde lagen x operationele benutting</t>
  </si>
  <si>
    <t xml:space="preserve">C32</t>
  </si>
  <si>
    <t xml:space="preserve">Marge voorraadcapaciteit</t>
  </si>
  <si>
    <t xml:space="preserve">Positief vereist; geen extra terreinreservering bijtellen</t>
  </si>
  <si>
    <t xml:space="preserve">C33</t>
  </si>
  <si>
    <t xml:space="preserve">Toets werkelijke opslagcapaciteit</t>
  </si>
  <si>
    <t xml:space="preserve">Terreintoets en slottoets zijn verschillende controles</t>
  </si>
  <si>
    <t xml:space="preserve">C34</t>
  </si>
  <si>
    <t xml:space="preserve">Benodigde slots lege containers</t>
  </si>
  <si>
    <t xml:space="preserve">Volgt uit dezelfde lege voorraad; benodigde hele slots naar boven afgerond</t>
  </si>
  <si>
    <t xml:space="preserve">C35</t>
  </si>
  <si>
    <t xml:space="preserve">Toegewezen bruikbare lege-slots</t>
  </si>
  <si>
    <t xml:space="preserve">Ook gedeelde reguliere vakken kunnen worden toegewezen</t>
  </si>
  <si>
    <t xml:space="preserve">C36</t>
  </si>
  <si>
    <t xml:space="preserve">Voorraadcapaciteit lege-slots</t>
  </si>
  <si>
    <t xml:space="preserve">Geen extra voorraad bovenop totaal; onderdeel van totaal aantal slots</t>
  </si>
  <si>
    <t xml:space="preserve">C37</t>
  </si>
  <si>
    <t xml:space="preserve">Marge toegewezen lege opslag</t>
  </si>
  <si>
    <t xml:space="preserve">Werkelijke capaciteit na toewijzing</t>
  </si>
  <si>
    <t xml:space="preserve">C38</t>
  </si>
  <si>
    <t xml:space="preserve">Geometrische bovengrens aparte vakken</t>
  </si>
  <si>
    <t xml:space="preserve">Zonder rijruimte; geen operationele slotcapaciteit</t>
  </si>
  <si>
    <t xml:space="preserve">C39</t>
  </si>
  <si>
    <t xml:space="preserve">Ruwe voorraadgrens aparte lege-vakken</t>
  </si>
  <si>
    <t xml:space="preserve">Alleen aparte vakken; dezelfde stapeling als het oude model</t>
  </si>
  <si>
    <t xml:space="preserve">C40</t>
  </si>
  <si>
    <t xml:space="preserve">Tekort kan alleen met extra/gedeelde ruimte of ander onderbouwd regime worden opgelost</t>
  </si>
  <si>
    <t xml:space="preserve">C41</t>
  </si>
  <si>
    <t xml:space="preserve">Toets aparte lege-vakken</t>
  </si>
  <si>
    <t xml:space="preserve">Geeft geen goedkeuring van een complete terminal</t>
  </si>
  <si>
    <t xml:space="preserve">C42</t>
  </si>
  <si>
    <t xml:space="preserve">Referentieoppervlakte lege opslag</t>
  </si>
  <si>
    <t xml:space="preserve">Oude 28 m2 per grondslot; niet één-op-één gelijk aan blokoppervlakte</t>
  </si>
  <si>
    <t xml:space="preserve">Getekende landverbindingen</t>
  </si>
  <si>
    <t xml:space="preserve">C43</t>
  </si>
  <si>
    <t xml:space="preserve">Eindfaseopstelling; modal split en treinfrequentie ontbreken</t>
  </si>
  <si>
    <t xml:space="preserve">C44</t>
  </si>
  <si>
    <t xml:space="preserve">Lengte per opstelspoor</t>
  </si>
  <si>
    <t xml:space="preserve">Gemeten geometrie</t>
  </si>
  <si>
    <t xml:space="preserve">C45</t>
  </si>
  <si>
    <t xml:space="preserve">Totale opstelspoorlengte</t>
  </si>
  <si>
    <t xml:space="preserve">Geen jaarlijkse spoorcapaciteit uit alleen spoorlengte afleiden</t>
  </si>
  <si>
    <t xml:space="preserve">C46</t>
  </si>
  <si>
    <t xml:space="preserve">Aantekening in DWG; servicetijd ontbreekt</t>
  </si>
  <si>
    <t xml:space="preserve">C47</t>
  </si>
  <si>
    <t xml:space="preserve">Piekuren, vrachtwagenbezetting en afhandeling nog nodig</t>
  </si>
  <si>
    <t xml:space="preserve">Overige terminals</t>
  </si>
  <si>
    <t xml:space="preserve">T01</t>
  </si>
  <si>
    <t xml:space="preserve">Graancalls afgerond</t>
  </si>
  <si>
    <t xml:space="preserve">65000 ton per call als conceptparcel</t>
  </si>
  <si>
    <t xml:space="preserve">T02</t>
  </si>
  <si>
    <t xml:space="preserve">Graan ligplaatstijd</t>
  </si>
  <si>
    <t xml:space="preserve">Bij constante netto beladerproductiviteit</t>
  </si>
  <si>
    <t xml:space="preserve">T03</t>
  </si>
  <si>
    <t xml:space="preserve">Bezetting één graanligplaats</t>
  </si>
  <si>
    <t xml:space="preserve">Piekcampagnes apart toetsen</t>
  </si>
  <si>
    <t xml:space="preserve">T04</t>
  </si>
  <si>
    <t xml:space="preserve">Graan piekvoorraad</t>
  </si>
  <si>
    <t xml:space="preserve">30 dagen met piekfactor 1,25</t>
  </si>
  <si>
    <t xml:space="preserve">T05</t>
  </si>
  <si>
    <t xml:space="preserve">Graanterreinbehoefte referentiemodel</t>
  </si>
  <si>
    <t xml:space="preserve">Oud 8 m terreinmodel; silo’s en loods worden hieronder afzonderlijk beoordeeld.</t>
  </si>
  <si>
    <t xml:space="preserve">T06</t>
  </si>
  <si>
    <t xml:space="preserve">Gemeten 30,42 ha hoofdperceel; opslagdeel niet extra optellen</t>
  </si>
  <si>
    <t xml:space="preserve">T07</t>
  </si>
  <si>
    <t xml:space="preserve">RoRo calls afgerond</t>
  </si>
  <si>
    <t xml:space="preserve">6500 auto/call; lagere parcel geeft meer calls</t>
  </si>
  <si>
    <t xml:space="preserve">T08</t>
  </si>
  <si>
    <t xml:space="preserve">RoRo ligplaatstijd</t>
  </si>
  <si>
    <t xml:space="preserve">Netto150 auto/uur als hypothese</t>
  </si>
  <si>
    <t xml:space="preserve">T09</t>
  </si>
  <si>
    <t xml:space="preserve">Bezetting één RoRo-ligplaats</t>
  </si>
  <si>
    <t xml:space="preserve">Rampconflicten nog toetsen</t>
  </si>
  <si>
    <t xml:space="preserve">T10</t>
  </si>
  <si>
    <t xml:space="preserve">RoRo piekvoorraad</t>
  </si>
  <si>
    <t xml:space="preserve">T11</t>
  </si>
  <si>
    <t xml:space="preserve">RoRo oppervlakte totaal</t>
  </si>
  <si>
    <t xml:space="preserve">30m2 inclusief rijruimte, 20% extra support</t>
  </si>
  <si>
    <t xml:space="preserve">T12</t>
  </si>
  <si>
    <t xml:space="preserve">RoRo terrein reservering</t>
  </si>
  <si>
    <t xml:space="preserve">Gemeten 30,21 ha; toegewezen parkeervlakken apart toetsen</t>
  </si>
  <si>
    <t xml:space="preserve">T13</t>
  </si>
  <si>
    <t xml:space="preserve">LNG effectieve scheepslading</t>
  </si>
  <si>
    <t xml:space="preserve">m3/call</t>
  </si>
  <si>
    <t xml:space="preserve">Reguliere vloot; geen MOZAH</t>
  </si>
  <si>
    <t xml:space="preserve">T14</t>
  </si>
  <si>
    <t xml:space="preserve">LNG calls afgerond</t>
  </si>
  <si>
    <t xml:space="preserve">Afgeronde calls voor berthbezetting</t>
  </si>
  <si>
    <t xml:space="preserve">T15</t>
  </si>
  <si>
    <t xml:space="preserve">LNG ligplaatstijd</t>
  </si>
  <si>
    <t xml:space="preserve">10000m3/uur + 8 uur overige tijd</t>
  </si>
  <si>
    <t xml:space="preserve">T16</t>
  </si>
  <si>
    <t xml:space="preserve">Bezetting één LNG-steiger</t>
  </si>
  <si>
    <t xml:space="preserve">Geen LNG-operability of QRA-bewijs</t>
  </si>
  <si>
    <t xml:space="preserve">T17</t>
  </si>
  <si>
    <t xml:space="preserve">Nominale LNG-opslag</t>
  </si>
  <si>
    <t xml:space="preserve">Actieve tankkeuze in Invoer D3; aantal nog te bevestigen</t>
  </si>
  <si>
    <t xml:space="preserve">T18</t>
  </si>
  <si>
    <t xml:space="preserve">Operationele opslagband</t>
  </si>
  <si>
    <t xml:space="preserve">Tussen 10% en90% vulling, totaal80% nominaal</t>
  </si>
  <si>
    <t xml:space="preserve">T19</t>
  </si>
  <si>
    <t xml:space="preserve">Buffer plus ontvangstruimte</t>
  </si>
  <si>
    <t xml:space="preserve">7 dagen gemiddelde vraag + volledige scheepsparcel</t>
  </si>
  <si>
    <t xml:space="preserve">T20</t>
  </si>
  <si>
    <t xml:space="preserve">Opslagmarge</t>
  </si>
  <si>
    <t xml:space="preserve">Positief vereist onder gekozen voorraadbeleid</t>
  </si>
  <si>
    <t xml:space="preserve">T21</t>
  </si>
  <si>
    <t xml:space="preserve">Opslagband bij één tank uit</t>
  </si>
  <si>
    <t xml:space="preserve">N-1 toets; operationele eis nog te kiezen</t>
  </si>
  <si>
    <t xml:space="preserve">T22</t>
  </si>
  <si>
    <t xml:space="preserve">Marge bij één tank uit</t>
  </si>
  <si>
    <t xml:space="preserve">Negatief vraagt lager bufferbeleid of extra tank</t>
  </si>
  <si>
    <t xml:space="preserve">T23</t>
  </si>
  <si>
    <t xml:space="preserve">Gas naar regionaal systeem</t>
  </si>
  <si>
    <t xml:space="preserve">Nm3/jaar</t>
  </si>
  <si>
    <t xml:space="preserve">Inclusief gas richting centrale; geen extra gasproductie</t>
  </si>
  <si>
    <t xml:space="preserve">T24</t>
  </si>
  <si>
    <t xml:space="preserve">Elektriciteitsproductie voorbeeld</t>
  </si>
  <si>
    <t xml:space="preserve">MWh/jaar</t>
  </si>
  <si>
    <t xml:space="preserve">50% LNG naar centrale, rendement60% als rekenvoorbeeld</t>
  </si>
  <si>
    <t xml:space="preserve">T25</t>
  </si>
  <si>
    <t xml:space="preserve">Centrale eindcapaciteit voorbeeld</t>
  </si>
  <si>
    <t xml:space="preserve">Oppervlakte centrale gemeten; 50% LNG-toedeling blijft rekenvoorbeeld</t>
  </si>
  <si>
    <t xml:space="preserve">Verkeer voor hoofdgeul en verkeersplanning</t>
  </si>
  <si>
    <t xml:space="preserve">Aanlopen alle ladingstromen</t>
  </si>
  <si>
    <t xml:space="preserve">Aankomst plus vertrek</t>
  </si>
  <si>
    <t xml:space="preserve">bewegingen/jaar</t>
  </si>
  <si>
    <t xml:space="preserve">Gemiddelde geulbewegingen</t>
  </si>
  <si>
    <t xml:space="preserve">per dag</t>
  </si>
  <si>
    <t xml:space="preserve">Graan indicatief opslagmodel bij de aangegeven silohoogte</t>
  </si>
  <si>
    <t xml:space="preserve">T26</t>
  </si>
  <si>
    <t xml:space="preserve">Aantal silo’s</t>
  </si>
  <si>
    <t xml:space="preserve">Geteld in tekening</t>
  </si>
  <si>
    <t xml:space="preserve">T27</t>
  </si>
  <si>
    <t xml:space="preserve">Nominale diameter</t>
  </si>
  <si>
    <t xml:space="preserve">Nominale 30 m uit de aantekening</t>
  </si>
  <si>
    <t xml:space="preserve">T28</t>
  </si>
  <si>
    <t xml:space="preserve">Aangegeven hoogte</t>
  </si>
  <si>
    <t xml:space="preserve">Nog niet als volledige bruikbare cilinderhoogte bevestigd</t>
  </si>
  <si>
    <t xml:space="preserve">T29</t>
  </si>
  <si>
    <t xml:space="preserve">Bruto cilindervolume silo’s</t>
  </si>
  <si>
    <t xml:space="preserve">Geometrisch scenario; constructiehoogte kan afwijken van opslaghoogte</t>
  </si>
  <si>
    <t xml:space="preserve">T30</t>
  </si>
  <si>
    <t xml:space="preserve">Bruto massa in silocilinders</t>
  </si>
  <si>
    <t xml:space="preserve">Graandichtheid uit bestaande invoer</t>
  </si>
  <si>
    <t xml:space="preserve">T31</t>
  </si>
  <si>
    <t xml:space="preserve">Indicatieve massa bij gekozen vulfactor</t>
  </si>
  <si>
    <t xml:space="preserve">Bij 40 m cilinder en 90% benutting; geen leverancierscapaciteit</t>
  </si>
  <si>
    <t xml:space="preserve">T32</t>
  </si>
  <si>
    <t xml:space="preserve">Marge silo’s tegen piekvoorraad</t>
  </si>
  <si>
    <t xml:space="preserve">Negatief betekent extra opslag of andere bewezen capaciteit nodig</t>
  </si>
  <si>
    <t xml:space="preserve">T33</t>
  </si>
  <si>
    <t xml:space="preserve">Aanvullende loodsvoorraad nodig</t>
  </si>
  <si>
    <t xml:space="preserve">Binnen dit indicatieve siloscenario</t>
  </si>
  <si>
    <t xml:space="preserve">T34</t>
  </si>
  <si>
    <t xml:space="preserve">Voetafdruk opslagloods</t>
  </si>
  <si>
    <t xml:space="preserve">Gemeten bouwvlak; werkelijke opslagvloer nog bepalen</t>
  </si>
  <si>
    <t xml:space="preserve">T35</t>
  </si>
  <si>
    <t xml:space="preserve">Bruikbare opslaghoogte loods</t>
  </si>
  <si>
    <t xml:space="preserve">Gele invoer ontbreekt nog</t>
  </si>
  <si>
    <t xml:space="preserve">T36</t>
  </si>
  <si>
    <t xml:space="preserve">Bruikbaar deel loodsvloer</t>
  </si>
  <si>
    <t xml:space="preserve">T37</t>
  </si>
  <si>
    <t xml:space="preserve">Capaciteit vlakke opslagloods</t>
  </si>
  <si>
    <t xml:space="preserve">Geen stille aanname voor vrije hoogte en benutting</t>
  </si>
  <si>
    <t xml:space="preserve">T38</t>
  </si>
  <si>
    <t xml:space="preserve">Silo’s plus loods indicatief</t>
  </si>
  <si>
    <t xml:space="preserve">Blijft afhankelijk van bevestiging silo- en loodsgegevens</t>
  </si>
  <si>
    <t xml:space="preserve">T39</t>
  </si>
  <si>
    <t xml:space="preserve">Marge totale graanopslag</t>
  </si>
  <si>
    <t xml:space="preserve">Tegen dezelfde case-piekvoorraad</t>
  </si>
  <si>
    <t xml:space="preserve">T40</t>
  </si>
  <si>
    <t xml:space="preserve">Status graanopslagmodel</t>
  </si>
  <si>
    <t xml:space="preserve">Hoogte uit aantekening blijft onbevestigd</t>
  </si>
  <si>
    <t xml:space="preserve">RoRo parkeren volgens de getekende vlakken</t>
  </si>
  <si>
    <t xml:space="preserve">T41</t>
  </si>
  <si>
    <t xml:space="preserve">Volledig getekend perceel</t>
  </si>
  <si>
    <t xml:space="preserve">T42</t>
  </si>
  <si>
    <t xml:space="preserve">Marge totaal terrein</t>
  </si>
  <si>
    <t xml:space="preserve">Alleen bruto terreinmodel</t>
  </si>
  <si>
    <t xml:space="preserve">T43</t>
  </si>
  <si>
    <t xml:space="preserve">Aangewezen parkeervlakken</t>
  </si>
  <si>
    <t xml:space="preserve">7 vlakken binnen het RoRo-perceel</t>
  </si>
  <si>
    <t xml:space="preserve">T44</t>
  </si>
  <si>
    <t xml:space="preserve">Plaatsen in aangewezen vakken (netto norm)</t>
  </si>
  <si>
    <t xml:space="preserve">Netto 12,5 m2 per auto (Invoer D148); was 30 m2 incl. rijruimte, wat de vakken dubbel corrigeerde</t>
  </si>
  <si>
    <t xml:space="preserve">T45</t>
  </si>
  <si>
    <t xml:space="preserve">Benodigde plaatsen bij piekvoorraad</t>
  </si>
  <si>
    <t xml:space="preserve">Voorraad naar boven afgerond op hele auto’s</t>
  </si>
  <si>
    <t xml:space="preserve">T46</t>
  </si>
  <si>
    <t xml:space="preserve">Marge aangewezen parkeervlakken</t>
  </si>
  <si>
    <t xml:space="preserve">Andere definities vragen een echte telling van parkeervakken</t>
  </si>
  <si>
    <t xml:space="preserve">T47</t>
  </si>
  <si>
    <t xml:space="preserve">Beschikbare m2 per benodigde auto</t>
  </si>
  <si>
    <t xml:space="preserve">Vergelijk met 30 m2 uit bestaande norm</t>
  </si>
  <si>
    <t xml:space="preserve">T48</t>
  </si>
  <si>
    <t xml:space="preserve">Toets parkeeroppervlakte</t>
  </si>
  <si>
    <t xml:space="preserve">Geen aanname dat rest van perceel automatisch parkeerterrein is</t>
  </si>
  <si>
    <t xml:space="preserve">LNG en centrale volgens de tekening</t>
  </si>
  <si>
    <t xml:space="preserve">T49</t>
  </si>
  <si>
    <t xml:space="preserve">Geen risicoafstand of procescapaciteit uit oppervlak afleiden</t>
  </si>
  <si>
    <t xml:space="preserve">T50</t>
  </si>
  <si>
    <t xml:space="preserve">Tankcirkels in hoofdlaag</t>
  </si>
  <si>
    <t xml:space="preserve">Bronweergave is onafhankelijk van actieve modelkeuze</t>
  </si>
  <si>
    <t xml:space="preserve">T51</t>
  </si>
  <si>
    <t xml:space="preserve">Vierde cirkel mist uitgewerkt tankdetail</t>
  </si>
  <si>
    <t xml:space="preserve">T52</t>
  </si>
  <si>
    <t xml:space="preserve">Actief aantal tanks in model</t>
  </si>
  <si>
    <t xml:space="preserve">Voorlopige keuze in Invoer D3</t>
  </si>
  <si>
    <t xml:space="preserve">T53</t>
  </si>
  <si>
    <t xml:space="preserve">Lengte LNG-ligplaatsenvelop</t>
  </si>
  <si>
    <t xml:space="preserve">400 m is ruimtereservering, niet kadefront</t>
  </si>
  <si>
    <t xml:space="preserve">T54</t>
  </si>
  <si>
    <t xml:space="preserve">Breedte LNG-ligplaatsenvelop</t>
  </si>
  <si>
    <t xml:space="preserve">Envelop is geen bewezen vrije manoeuvreerruimte</t>
  </si>
  <si>
    <t xml:space="preserve">T55</t>
  </si>
  <si>
    <t xml:space="preserve">Toets opslag bij één tank uit</t>
  </si>
  <si>
    <t xml:space="preserve">Geldt alleen voor geselecteerd tankaantal en voorraadbeleid</t>
  </si>
  <si>
    <t xml:space="preserve">T56</t>
  </si>
  <si>
    <t xml:space="preserve">Vermogen blijft apart te kiezen; bestaand energievoorbeeld niet vastgesteld</t>
  </si>
  <si>
    <t xml:space="preserve">T57</t>
  </si>
  <si>
    <t xml:space="preserve">Aantekening 4 x 33%</t>
  </si>
  <si>
    <t xml:space="preserve">T58</t>
  </si>
  <si>
    <t xml:space="preserve">Nominaal aandeel bij één uit</t>
  </si>
  <si>
    <t xml:space="preserve">99% uit afgeronde 33%-aandelen is geen gegarandeerde capaciteit</t>
  </si>
  <si>
    <t xml:space="preserve">T59</t>
  </si>
  <si>
    <t xml:space="preserve">Gemiddelde LNG-doorzet per uur</t>
  </si>
  <si>
    <t xml:space="preserve">Jaargemiddelde; piekuurvraag niet gegeven</t>
  </si>
  <si>
    <t xml:space="preserve">T60</t>
  </si>
  <si>
    <t xml:space="preserve">Absolute capaciteit niet uit 33% afleiden</t>
  </si>
  <si>
    <t xml:space="preserve">T61</t>
  </si>
  <si>
    <t xml:space="preserve">Regascapaciteit bij één uit</t>
  </si>
  <si>
    <t xml:space="preserve">Onderhoudsscenario; LNG-equivalent</t>
  </si>
  <si>
    <t xml:space="preserve">T62</t>
  </si>
  <si>
    <t xml:space="preserve">Marge regas tegen jaargemiddelde</t>
  </si>
  <si>
    <t xml:space="preserve">Piek- en procesontwerp blijven afzonderlijk nodig</t>
  </si>
  <si>
    <t xml:space="preserve">Grondwerk</t>
  </si>
  <si>
    <t xml:space="preserve">Zone</t>
  </si>
  <si>
    <t xml:space="preserve">Baggervak</t>
  </si>
  <si>
    <t xml:space="preserve">Oppervlakte m2</t>
  </si>
  <si>
    <t xml:space="preserve">Bestaande diepte m</t>
  </si>
  <si>
    <t xml:space="preserve">Ontwerpdiepte m</t>
  </si>
  <si>
    <t xml:space="preserve">Volume m3</t>
  </si>
  <si>
    <t xml:space="preserve">Geometrie en beperking</t>
  </si>
  <si>
    <t xml:space="preserve">G1</t>
  </si>
  <si>
    <t xml:space="preserve">Buitengeul (tot geuleinde)</t>
  </si>
  <si>
    <t xml:space="preserve">Bodemmodel: zone 2 (tot DHN -15, 17,25 km) 3,90 km2 gem. 13,51 m; zone 3 0,66 km2 gem. 16,71 m</t>
  </si>
  <si>
    <t xml:space="preserve">G2</t>
  </si>
  <si>
    <t xml:space="preserve">Voorhaven en buitenste draaikom</t>
  </si>
  <si>
    <t xml:space="preserve">Bodemmodel: gem. 0,75 m diep (strand en strandwal deels boven MLWS)</t>
  </si>
  <si>
    <t xml:space="preserve">G3</t>
  </si>
  <si>
    <t xml:space="preserve">Hoofdbekken + zwaaiplaats netto</t>
  </si>
  <si>
    <t xml:space="preserve">Negatief = land boven MLWS (ontgraven); DEM incl. begroeiing</t>
  </si>
  <si>
    <t xml:space="preserve">G4</t>
  </si>
  <si>
    <t xml:space="preserve">LNG-vaarweg</t>
  </si>
  <si>
    <t xml:space="preserve">Bodemmodel: gem. 2,48 m diep</t>
  </si>
  <si>
    <t xml:space="preserve">G5</t>
  </si>
  <si>
    <t xml:space="preserve">Insteek F2</t>
  </si>
  <si>
    <t xml:space="preserve">Land, gem. +5,94 m</t>
  </si>
  <si>
    <t xml:space="preserve">G6</t>
  </si>
  <si>
    <t xml:space="preserve">Insteek F3</t>
  </si>
  <si>
    <t xml:space="preserve">Land, gem. +6,50 m</t>
  </si>
  <si>
    <t xml:space="preserve">G7</t>
  </si>
  <si>
    <t xml:space="preserve">RoRo-ligplaatsvak</t>
  </si>
  <si>
    <t xml:space="preserve">Tegen de RoRo-kade (v8.3); land, gem. +6,47 m</t>
  </si>
  <si>
    <t xml:space="preserve">G8</t>
  </si>
  <si>
    <t xml:space="preserve">Reserve insteek 2 (na 2045)</t>
  </si>
  <si>
    <t xml:space="preserve">Niet baggeren t/m 2045 (666.139 m2 gereserveerd; later ca. 17,3 mln m3)</t>
  </si>
  <si>
    <t xml:space="preserve">G9</t>
  </si>
  <si>
    <t xml:space="preserve">Insteek F1 (containers)</t>
  </si>
  <si>
    <t xml:space="preserve">Was open lijn 1EE; nu gesloten vak F1 (v8.3); land, gem. +6,99 m</t>
  </si>
  <si>
    <t xml:space="preserve">G10</t>
  </si>
  <si>
    <t xml:space="preserve">Reserve hoofdbekken (na 2045)</t>
  </si>
  <si>
    <t xml:space="preserve">Niet baggeren t/m 2045 (555.166 m2 gereserveerd; later ca. 13,5 mln m3)</t>
  </si>
  <si>
    <t xml:space="preserve">Totaal baggervolume volledig model</t>
  </si>
  <si>
    <t xml:space="preserve">Som bekende deeloppervlakken</t>
  </si>
  <si>
    <t xml:space="preserve">Dit is geen complete havenoppervlakte zolang de resterende contouren en overlap niet zijn vastgesteld.</t>
  </si>
  <si>
    <t xml:space="preserve">Bodemprofielen uit de cursus</t>
  </si>
  <si>
    <t xml:space="preserve">Gebied</t>
  </si>
  <si>
    <t xml:space="preserve">Zand</t>
  </si>
  <si>
    <t xml:space="preserve">Zachte klei</t>
  </si>
  <si>
    <t xml:space="preserve">Stevig/hard</t>
  </si>
  <si>
    <t xml:space="preserve">Som</t>
  </si>
  <si>
    <t xml:space="preserve">Gebruik</t>
  </si>
  <si>
    <t xml:space="preserve">Havenbekken</t>
  </si>
  <si>
    <t xml:space="preserve">Geul bij DHN -15 eerst splitsen; gemengd materiaal niet voor reclamatie.</t>
  </si>
  <si>
    <t xml:space="preserve">Geul tot DHN -15</t>
  </si>
  <si>
    <t xml:space="preserve">Geul voorbij DHN -15</t>
  </si>
  <si>
    <t xml:space="preserve">Verticaal datum</t>
  </si>
  <si>
    <t xml:space="preserve">Alle diepten positief naar beneden en in hetzelfde datum. Bestaande bodem of TIN ontbreekt; MSL-MLWS verschil nog onderbouwen.</t>
  </si>
  <si>
    <t xml:space="preserve">Reclamatie uit unieke vlakken en hoogten</t>
  </si>
  <si>
    <t xml:space="preserve">Waarde</t>
  </si>
  <si>
    <t xml:space="preserve">G11</t>
  </si>
  <si>
    <t xml:space="preserve">Te vullen oppervlakte</t>
  </si>
  <si>
    <t xml:space="preserve">Terminals, LNG, centrale, havendienst (DO 8.3)</t>
  </si>
  <si>
    <t xml:space="preserve">G12</t>
  </si>
  <si>
    <t xml:space="preserve">Bestaande gemiddelde hoogte</t>
  </si>
  <si>
    <t xml:space="preserve">m zelfde datum</t>
  </si>
  <si>
    <t xml:space="preserve">Copernicus DEM (oppervlak incl. begroeiing) t.o.v. MLWS; werkelijk maaiveld lager</t>
  </si>
  <si>
    <t xml:space="preserve">G13</t>
  </si>
  <si>
    <t xml:space="preserve">Ontwerp bovenzijde</t>
  </si>
  <si>
    <t xml:space="preserve">Aanname terreinhoogte +5,0 m MLWS</t>
  </si>
  <si>
    <t xml:space="preserve">G14</t>
  </si>
  <si>
    <t xml:space="preserve">Extra laag voor zetting</t>
  </si>
  <si>
    <t xml:space="preserve">Aanname zetting</t>
  </si>
  <si>
    <t xml:space="preserve">Vulvolume schatting</t>
  </si>
  <si>
    <t xml:space="preserve">Gemiddeld geen ophoging: terrein ligt hoger dan +5,0 m. Celmethode: ophogen 0,36 mln m3, afgraven 7,35 mln m3</t>
  </si>
  <si>
    <t xml:space="preserve">Geen som van alle terminalvlakken</t>
  </si>
  <si>
    <t xml:space="preserve">Ophoogterrein is niet gelijk aan alle percelen samen. Bestaand land, binnenvlakken en overlap eerst onderscheiden.</t>
  </si>
  <si>
    <t xml:space="preserve">Afweging</t>
  </si>
  <si>
    <t xml:space="preserve">Criterium</t>
  </si>
  <si>
    <t xml:space="preserve">Gewicht</t>
  </si>
  <si>
    <t xml:space="preserve">A lineair</t>
  </si>
  <si>
    <t xml:space="preserve">B referentie</t>
  </si>
  <si>
    <t xml:space="preserve">C offshore</t>
  </si>
  <si>
    <t xml:space="preserve">D gescheiden</t>
  </si>
  <si>
    <t xml:space="preserve">Bewijs nodig</t>
  </si>
  <si>
    <t xml:space="preserve">M1</t>
  </si>
  <si>
    <t xml:space="preserve">Bevaarbaarheid</t>
  </si>
  <si>
    <t xml:space="preserve">Simulatie, toegangsroute en vrije draaicirkel</t>
  </si>
  <si>
    <t xml:space="preserve">M2</t>
  </si>
  <si>
    <t xml:space="preserve">Baggeren en reclameren</t>
  </si>
  <si>
    <t xml:space="preserve">Geometrie, bathymetrie, grondsoort en volume</t>
  </si>
  <si>
    <t xml:space="preserve">M3</t>
  </si>
  <si>
    <t xml:space="preserve">Complexiteit aanleg</t>
  </si>
  <si>
    <t xml:space="preserve">Dammen, funderingen, uitvoeringsvolgorde</t>
  </si>
  <si>
    <t xml:space="preserve">M4</t>
  </si>
  <si>
    <t xml:space="preserve">Fasering en uitbreidbaarheid</t>
  </si>
  <si>
    <t xml:space="preserve">Bouwen tijdens exploitatie en grondreserveringen</t>
  </si>
  <si>
    <t xml:space="preserve">M5</t>
  </si>
  <si>
    <t xml:space="preserve">Milieu en LNG-scheiding</t>
  </si>
  <si>
    <t xml:space="preserve">Ecologie, baggerstort, QRA en koelwater</t>
  </si>
  <si>
    <t xml:space="preserve">Som gewichten</t>
  </si>
  <si>
    <t xml:space="preserve">Gewogen score 1 tot 5</t>
  </si>
  <si>
    <t xml:space="preserve">Huidige voorkeursrichting</t>
  </si>
  <si>
    <t xml:space="preserve">Porto Central als vormreferentie</t>
  </si>
  <si>
    <t xml:space="preserve">Status vergelijking</t>
  </si>
  <si>
    <t xml:space="preserve">Vul alleen scores in met motivering. 1 ongunstig, 5 gunstig. De oude 4,35-score geldt niet voor dit ontwerp.</t>
  </si>
  <si>
    <t xml:space="preserve">Keuzes</t>
  </si>
  <si>
    <t xml:space="preserve">Onderwerp</t>
  </si>
  <si>
    <t xml:space="preserve">Besluit of voorstel</t>
  </si>
  <si>
    <t xml:space="preserve">Onderbouwing</t>
  </si>
  <si>
    <t xml:space="preserve">K01</t>
  </si>
  <si>
    <t xml:space="preserve">Groep 1 programma</t>
  </si>
  <si>
    <t xml:space="preserve">Containers, graan, voertuigen, LNG en centrale</t>
  </si>
  <si>
    <t xml:space="preserve">Opdracht</t>
  </si>
  <si>
    <t xml:space="preserve">K02</t>
  </si>
  <si>
    <t xml:space="preserve">Havenvorm</t>
  </si>
  <si>
    <t xml:space="preserve">Porto Central als referentie voor bekken, vingers en golfbrekers</t>
  </si>
  <si>
    <t xml:space="preserve">Gebruikerskeuze</t>
  </si>
  <si>
    <t xml:space="preserve">Beelden gebruiker + [6]</t>
  </si>
  <si>
    <t xml:space="preserve">K03</t>
  </si>
  <si>
    <t xml:space="preserve">Tekenwerk</t>
  </si>
  <si>
    <t xml:space="preserve">Gebruiker maakt eigen tekeningen</t>
  </si>
  <si>
    <t xml:space="preserve">22 oktober 2026</t>
  </si>
  <si>
    <t xml:space="preserve">K04</t>
  </si>
  <si>
    <t xml:space="preserve">Zoekgebied</t>
  </si>
  <si>
    <t xml:space="preserve">Getekende ligging volgens EPSG 31984; buitenste draaikom E297534,598 / N7649611,919</t>
  </si>
  <si>
    <t xml:space="preserve">Geometrie gemeten</t>
  </si>
  <si>
    <t xml:space="preserve">Ondergrondbestand ontbreekt voor nauwkeurige liggingstoets.</t>
  </si>
  <si>
    <t xml:space="preserve">K05</t>
  </si>
  <si>
    <t xml:space="preserve">Toegelaten vloot</t>
  </si>
  <si>
    <t xml:space="preserve">Regulier T14,5m en L334m; geen 400m-schepen</t>
  </si>
  <si>
    <t xml:space="preserve">Overgenomen</t>
  </si>
  <si>
    <t xml:space="preserve">[2] T15m alleen na aparte dieptetoets</t>
  </si>
  <si>
    <t xml:space="preserve">K06</t>
  </si>
  <si>
    <t xml:space="preserve">LNG-vloot</t>
  </si>
  <si>
    <t xml:space="preserve">GASLOG GREECE regulier, MOZAH alleen grensscenario</t>
  </si>
  <si>
    <t xml:space="preserve">[2] Grotere LNG-vloot vraagt nieuwe breedtetoets</t>
  </si>
  <si>
    <t xml:space="preserve">K07</t>
  </si>
  <si>
    <t xml:space="preserve">Verkeer</t>
  </si>
  <si>
    <t xml:space="preserve">Eenrichtingsgeul met VTS en loodsen</t>
  </si>
  <si>
    <t xml:space="preserve">[3] Geen passeren in de hoofdgeul</t>
  </si>
  <si>
    <t xml:space="preserve">K08</t>
  </si>
  <si>
    <t xml:space="preserve">Breedte</t>
  </si>
  <si>
    <t xml:space="preserve">Rechte geul 220 m, bocht circa 260 m bij R3400 m</t>
  </si>
  <si>
    <t xml:space="preserve">Gemeten + toets</t>
  </si>
  <si>
    <t xml:space="preserve">Nautiek; bocht en operationele omstandigheden nog onderbouwen.</t>
  </si>
  <si>
    <t xml:space="preserve">K09</t>
  </si>
  <si>
    <t xml:space="preserve">Containerkranen</t>
  </si>
  <si>
    <t xml:space="preserve">3/4/5 gelijktijdige kranen per schip, netto30 box/h</t>
  </si>
  <si>
    <t xml:space="preserve">Productiviteit en bezetting in Containers</t>
  </si>
  <si>
    <t xml:space="preserve">K10</t>
  </si>
  <si>
    <t xml:space="preserve">Terrein</t>
  </si>
  <si>
    <t xml:space="preserve">Containerterreinen 72,00 / 108,00 / 144,00 ha; graan 30,42 ha; RoRo 30,21 ha</t>
  </si>
  <si>
    <t xml:space="preserve">Gemeten contouren, geen afleiding uit referentiebeeld.</t>
  </si>
  <si>
    <t xml:space="preserve">K11</t>
  </si>
  <si>
    <t xml:space="preserve">LNG-opslag</t>
  </si>
  <si>
    <t xml:space="preserve">D3 in Invoer is de enige actieve tankkeuze. Alle fasen dezelfde opstelling als rekenaanname.</t>
  </si>
  <si>
    <t xml:space="preserve">K12</t>
  </si>
  <si>
    <t xml:space="preserve">Centrale</t>
  </si>
  <si>
    <t xml:space="preserve">Eindcapaciteit vanaf fase1; vermogensverdeling nog te kiezen</t>
  </si>
  <si>
    <t xml:space="preserve">Opdracht + rekenvoorbeeld</t>
  </si>
  <si>
    <t xml:space="preserve">50% LNG naar centrale is illustratief</t>
  </si>
  <si>
    <t xml:space="preserve">K13</t>
  </si>
  <si>
    <t xml:space="preserve">Baggergrond</t>
  </si>
  <si>
    <t xml:space="preserve">Niet voor reclamatie hergebruiken</t>
  </si>
  <si>
    <t xml:space="preserve">Opdrachtgegeven</t>
  </si>
  <si>
    <t xml:space="preserve">[4] Gemengd materiaal</t>
  </si>
  <si>
    <t xml:space="preserve">K14</t>
  </si>
  <si>
    <t xml:space="preserve">Golfbrekers</t>
  </si>
  <si>
    <t xml:space="preserve">Voorhaven beschermen; type en kruin pas na golfontwerp</t>
  </si>
  <si>
    <t xml:space="preserve">Geen ongefundeerde steen- of hoogteberekening</t>
  </si>
  <si>
    <t xml:space="preserve">K15</t>
  </si>
  <si>
    <t xml:space="preserve">Voorkeurstoets</t>
  </si>
  <si>
    <t xml:space="preserve">Vier groepsschetsen beoordelen met dezelfde gegevens</t>
  </si>
  <si>
    <t xml:space="preserve">Nog af te ronden</t>
  </si>
  <si>
    <t xml:space="preserve">Afweging; geen fictieve scores</t>
  </si>
  <si>
    <t xml:space="preserve">K16</t>
  </si>
  <si>
    <t xml:space="preserve">Definitieve toets</t>
  </si>
  <si>
    <t xml:space="preserve">DWG gemeten; opslagverdeling, ondergrond, plots en definitieve baggercontouren nog uitwerken</t>
  </si>
  <si>
    <t xml:space="preserve">Deels gecontroleerd</t>
  </si>
  <si>
    <t xml:space="preserve">Controle_Haven_DO.pdf van 23 oktober 2026; geen goedkeuring van ontbrekende gegevens.</t>
  </si>
  <si>
    <t xml:space="preserve">Wijzigingen voor de actuele rekenversie</t>
  </si>
  <si>
    <t xml:space="preserve">V3</t>
  </si>
  <si>
    <t xml:space="preserve">Tekening</t>
  </si>
  <si>
    <t xml:space="preserve">Haven_DO.dwg van 23 oktober 2026</t>
  </si>
  <si>
    <t xml:space="preserve">Verwerkt</t>
  </si>
  <si>
    <t xml:space="preserve">Kades, terreinen, route, diepten en terminaldetails gekoppeld.</t>
  </si>
  <si>
    <t xml:space="preserve">Opslag</t>
  </si>
  <si>
    <t xml:space="preserve">Bruikbare slots en loodsgegevens blijven invulvelden</t>
  </si>
  <si>
    <t xml:space="preserve">Invoer nodig</t>
  </si>
  <si>
    <t xml:space="preserve">Geen fictieve slotcapaciteit uit de getekende oppervlakte afgeleid.</t>
  </si>
  <si>
    <t xml:space="preserve">Binnenste zwaaiplaats 670 m apart getoetst</t>
  </si>
  <si>
    <t xml:space="preserve">Onderbouwing nodig</t>
  </si>
  <si>
    <t xml:space="preserve">Buitenste 720 m blijft aanwezig; vergelijk met eerder criterium 701,4 m.</t>
  </si>
  <si>
    <t xml:space="preserve">Nieuwe diepten en unieke deelvlakken</t>
  </si>
  <si>
    <t xml:space="preserve">Onvolledig</t>
  </si>
  <si>
    <t xml:space="preserve">Geen baggervolume zonder bestaande bodem en sluitende rekenvlakken.</t>
  </si>
  <si>
    <t xml:space="preserve">Hoofdrapport en tekenbrief van 22 oktober</t>
  </si>
  <si>
    <t xml:space="preserve">Het controleverslag beschrijft de verschillen; Excel is nu bijgewerkt.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</si>
</sst>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#,##0"/>
    <numFmt numFmtId="167" formatCode="0.0%"/>
    <numFmt numFmtId="168" formatCode="#,##0.0"/>
    <numFmt numFmtId="169" formatCode="0.00"/>
    <numFmt numFmtId="170" formatCode="General"/>
    <numFmt numFmtId="171" formatCode="0.000"/>
    <numFmt numFmtId="172" formatCode="0.0000"/>
    <numFmt numFmtId="173" formatCode="0%"/>
    <numFmt numFmtId="174" formatCode="0.00%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0"/>
      <color rgb="FF263640"/>
      <name val="Arial"/>
      <family val="0"/>
      <charset val="1"/>
    </font>
    <font>
      <b val="true"/>
      <sz val="15"/>
      <color rgb="FF23445E"/>
      <name val="Arial"/>
      <family val="0"/>
      <charset val="1"/>
    </font>
    <font>
      <b val="true"/>
      <sz val="10"/>
      <color rgb="FF2344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26364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3445E"/>
        <bgColor rgb="FF263640"/>
      </patternFill>
    </fill>
    <fill>
      <patternFill patternType="solid">
        <fgColor rgb="FFE8EFF4"/>
        <bgColor rgb="FFFBE4E4"/>
      </patternFill>
    </fill>
    <fill>
      <patternFill patternType="solid">
        <fgColor rgb="FFFFF3B0"/>
        <bgColor rgb="FFFFF2CC"/>
      </patternFill>
    </fill>
    <fill>
      <patternFill patternType="solid">
        <fgColor rgb="FFFFF2CC"/>
        <bgColor rgb="FFFFF3B0"/>
      </patternFill>
    </fill>
    <fill>
      <patternFill patternType="solid">
        <fgColor rgb="FFFFFFFF"/>
        <bgColor rgb="FFE8EFF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23445E"/>
      </bottom>
      <diagonal/>
    </border>
    <border diagonalUp="false" diagonalDown="false">
      <left style="dashed">
        <color rgb="FF23445E"/>
      </left>
      <right style="dashed">
        <color rgb="FF23445E"/>
      </right>
      <top style="dashed">
        <color rgb="FF23445E"/>
      </top>
      <bottom style="dashed">
        <color rgb="FF23445E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7" fillId="3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4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5" fillId="5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" fillId="5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5" fillId="6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5" fillId="3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4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5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3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5" fillId="4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" fillId="4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" fillId="3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5" fillId="6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8" fillId="2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5" fillId="0" borderId="0" xfId="2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7" fillId="3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2" borderId="0" xfId="2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3" fontId="5" fillId="0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3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5" fillId="5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2">
    <dxf>
      <font>
        <b val="1"/>
        <color rgb="FF9A2323"/>
      </font>
      <fill>
        <patternFill>
          <bgColor rgb="FFFBE4E4"/>
        </patternFill>
      </fill>
    </dxf>
    <dxf>
      <font>
        <b val="1"/>
        <color rgb="FF9A2323"/>
      </font>
      <fill>
        <patternFill>
          <bgColor rgb="FFFB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38AA6"/>
      <rgbColor rgb="FF9999FF"/>
      <rgbColor rgb="FF993366"/>
      <rgbColor rgb="FFFFF2CC"/>
      <rgbColor rgb="FFE8EF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23445E"/>
      <rgbColor rgb="FF339966"/>
      <rgbColor rgb="FF003300"/>
      <rgbColor rgb="FF333300"/>
      <rgbColor rgb="FF9A2323"/>
      <rgbColor rgb="FF993366"/>
      <rgbColor rgb="FF333399"/>
      <rgbColor rgb="FF26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445E"/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9"/>
    <col collapsed="false" customWidth="true" hidden="false" outlineLevel="0" max="3" min="3" style="0" width="18"/>
    <col collapsed="false" customWidth="true" hidden="false" outlineLevel="0" max="6" min="4" style="0" width="17"/>
    <col collapsed="false" customWidth="true" hidden="false" outlineLevel="0" max="7" min="7" style="0" width="70"/>
    <col collapsed="false" customWidth="true" hidden="false" outlineLevel="0" max="8" min="8" style="0" width="6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8.55" hidden="false" customHeight="false" outlineLevel="0" collapsed="false">
      <c r="A2" s="2" t="s">
        <v>0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 t="s">
        <v>1</v>
      </c>
      <c r="C3" s="3"/>
      <c r="D3" s="4" t="n">
        <f aca="false">Invoer!$D$3</f>
        <v>3</v>
      </c>
      <c r="E3" s="3"/>
      <c r="F3" s="3"/>
      <c r="G3" s="3" t="s">
        <v>2</v>
      </c>
      <c r="H3" s="3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27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6"/>
    </row>
    <row r="6" customFormat="false" ht="27" hidden="false" customHeight="true" outlineLevel="0" collapsed="false">
      <c r="A6" s="6" t="s">
        <v>10</v>
      </c>
      <c r="B6" s="7" t="s">
        <v>11</v>
      </c>
      <c r="C6" s="6" t="s">
        <v>12</v>
      </c>
      <c r="D6" s="8" t="n">
        <f aca="false">Containers!D15</f>
        <v>2</v>
      </c>
      <c r="E6" s="8" t="n">
        <f aca="false">Containers!E15</f>
        <v>3</v>
      </c>
      <c r="F6" s="8" t="n">
        <f aca="false">Containers!F15</f>
        <v>4</v>
      </c>
      <c r="G6" s="7" t="s">
        <v>13</v>
      </c>
      <c r="H6" s="6"/>
    </row>
    <row r="7" customFormat="false" ht="27" hidden="false" customHeight="true" outlineLevel="0" collapsed="false">
      <c r="A7" s="6" t="s">
        <v>14</v>
      </c>
      <c r="B7" s="7" t="s">
        <v>15</v>
      </c>
      <c r="C7" s="6" t="s">
        <v>12</v>
      </c>
      <c r="D7" s="8" t="n">
        <f aca="false">Containers!D16</f>
        <v>2</v>
      </c>
      <c r="E7" s="8" t="n">
        <f aca="false">Containers!E16</f>
        <v>3</v>
      </c>
      <c r="F7" s="8" t="n">
        <f aca="false">Containers!F16</f>
        <v>4</v>
      </c>
      <c r="G7" s="7" t="s">
        <v>16</v>
      </c>
      <c r="H7" s="6"/>
    </row>
    <row r="8" customFormat="false" ht="27" hidden="false" customHeight="true" outlineLevel="0" collapsed="false">
      <c r="A8" s="6" t="s">
        <v>17</v>
      </c>
      <c r="B8" s="7" t="s">
        <v>18</v>
      </c>
      <c r="C8" s="6" t="s">
        <v>19</v>
      </c>
      <c r="D8" s="9" t="n">
        <f aca="false">Containers!D17</f>
        <v>0.59956290555155</v>
      </c>
      <c r="E8" s="9" t="n">
        <f aca="false">Containers!E17</f>
        <v>0.513003935352079</v>
      </c>
      <c r="F8" s="9" t="n">
        <f aca="false">Containers!F17</f>
        <v>0.63093682408075</v>
      </c>
      <c r="G8" s="7" t="s">
        <v>20</v>
      </c>
      <c r="H8" s="6"/>
    </row>
    <row r="9" customFormat="false" ht="27" hidden="false" customHeight="true" outlineLevel="0" collapsed="false">
      <c r="A9" s="6" t="s">
        <v>21</v>
      </c>
      <c r="B9" s="7" t="s">
        <v>22</v>
      </c>
      <c r="C9" s="6" t="s">
        <v>23</v>
      </c>
      <c r="D9" s="10" t="n">
        <f aca="false">Containers!D18</f>
        <v>802.192182014012</v>
      </c>
      <c r="E9" s="10" t="n">
        <f aca="false">Containers!E18</f>
        <v>1203.28827302102</v>
      </c>
      <c r="F9" s="10" t="n">
        <f aca="false">Containers!F18</f>
        <v>1604.38436402802</v>
      </c>
      <c r="G9" s="7" t="s">
        <v>24</v>
      </c>
      <c r="H9" s="6"/>
    </row>
    <row r="10" customFormat="false" ht="27" hidden="false" customHeight="true" outlineLevel="0" collapsed="false">
      <c r="A10" s="6" t="s">
        <v>25</v>
      </c>
      <c r="B10" s="7" t="s">
        <v>26</v>
      </c>
      <c r="C10" s="6" t="s">
        <v>12</v>
      </c>
      <c r="D10" s="8" t="n">
        <f aca="false">Containers!D19</f>
        <v>6</v>
      </c>
      <c r="E10" s="8" t="n">
        <f aca="false">Containers!E19</f>
        <v>12</v>
      </c>
      <c r="F10" s="8" t="n">
        <f aca="false">Containers!F19</f>
        <v>20</v>
      </c>
      <c r="G10" s="7" t="s">
        <v>27</v>
      </c>
      <c r="H10" s="6"/>
    </row>
    <row r="11" customFormat="false" ht="27" hidden="false" customHeight="true" outlineLevel="0" collapsed="false">
      <c r="A11" s="6" t="s">
        <v>28</v>
      </c>
      <c r="B11" s="7" t="s">
        <v>29</v>
      </c>
      <c r="C11" s="6" t="s">
        <v>30</v>
      </c>
      <c r="D11" s="10" t="n">
        <f aca="false">Containers!D27</f>
        <v>40.7671232876712</v>
      </c>
      <c r="E11" s="10" t="n">
        <f aca="false">Containers!E27</f>
        <v>67.9452054794521</v>
      </c>
      <c r="F11" s="10" t="n">
        <f aca="false">Containers!F27</f>
        <v>135.890410958904</v>
      </c>
      <c r="G11" s="7" t="s">
        <v>31</v>
      </c>
      <c r="H11" s="6"/>
    </row>
    <row r="12" customFormat="false" ht="27" hidden="false" customHeight="true" outlineLevel="0" collapsed="false">
      <c r="A12" s="6" t="s">
        <v>32</v>
      </c>
      <c r="B12" s="7" t="s">
        <v>33</v>
      </c>
      <c r="C12" s="6" t="s">
        <v>30</v>
      </c>
      <c r="D12" s="11" t="n">
        <f aca="false">Containers!D28</f>
        <v>72.0013758749795</v>
      </c>
      <c r="E12" s="11" t="n">
        <f aca="false">Containers!E28</f>
        <v>108.002063812585</v>
      </c>
      <c r="F12" s="11" t="n">
        <f aca="false">Containers!F28</f>
        <v>144.002751750007</v>
      </c>
      <c r="G12" s="7" t="s">
        <v>34</v>
      </c>
      <c r="H12" s="6"/>
    </row>
    <row r="13" customFormat="false" ht="27" hidden="false" customHeight="true" outlineLevel="0" collapsed="false">
      <c r="A13" s="6" t="s">
        <v>35</v>
      </c>
      <c r="B13" s="7" t="s">
        <v>36</v>
      </c>
      <c r="C13" s="6" t="s">
        <v>30</v>
      </c>
      <c r="D13" s="10" t="n">
        <f aca="false">'Overige terminals'!D10</f>
        <v>1.71232876712329</v>
      </c>
      <c r="E13" s="10" t="n">
        <f aca="false">'Overige terminals'!E10</f>
        <v>3.42465753424658</v>
      </c>
      <c r="F13" s="10" t="n">
        <f aca="false">'Overige terminals'!F10</f>
        <v>5.13698630136986</v>
      </c>
      <c r="G13" s="7" t="s">
        <v>37</v>
      </c>
      <c r="H13" s="6"/>
    </row>
    <row r="14" customFormat="false" ht="27" hidden="false" customHeight="true" outlineLevel="0" collapsed="false">
      <c r="A14" s="6" t="s">
        <v>38</v>
      </c>
      <c r="B14" s="7" t="s">
        <v>39</v>
      </c>
      <c r="C14" s="6" t="s">
        <v>30</v>
      </c>
      <c r="D14" s="10" t="n">
        <f aca="false">'Overige terminals'!D16</f>
        <v>5.76986301369863</v>
      </c>
      <c r="E14" s="10" t="n">
        <f aca="false">'Overige terminals'!E16</f>
        <v>16.6684931506849</v>
      </c>
      <c r="F14" s="10" t="n">
        <f aca="false">'Overige terminals'!F16</f>
        <v>26.9260273972603</v>
      </c>
      <c r="G14" s="7" t="s">
        <v>40</v>
      </c>
      <c r="H14" s="6"/>
    </row>
    <row r="15" customFormat="false" ht="27" hidden="false" customHeight="true" outlineLevel="0" collapsed="false">
      <c r="A15" s="6" t="s">
        <v>41</v>
      </c>
      <c r="B15" s="7" t="s">
        <v>42</v>
      </c>
      <c r="C15" s="6" t="s">
        <v>43</v>
      </c>
      <c r="D15" s="8" t="n">
        <f aca="false">'Overige terminals'!D19</f>
        <v>26</v>
      </c>
      <c r="E15" s="8" t="n">
        <f aca="false">'Overige terminals'!E19</f>
        <v>39</v>
      </c>
      <c r="F15" s="8" t="n">
        <f aca="false">'Overige terminals'!F19</f>
        <v>52</v>
      </c>
      <c r="G15" s="7" t="s">
        <v>44</v>
      </c>
      <c r="H15" s="6"/>
    </row>
    <row r="16" customFormat="false" ht="27" hidden="false" customHeight="true" outlineLevel="0" collapsed="false">
      <c r="A16" s="6" t="s">
        <v>45</v>
      </c>
      <c r="B16" s="7" t="s">
        <v>46</v>
      </c>
      <c r="C16" s="6" t="s">
        <v>47</v>
      </c>
      <c r="D16" s="10" t="n">
        <f aca="false">'Overige terminals'!D25</f>
        <v>198687.671232877</v>
      </c>
      <c r="E16" s="10" t="n">
        <f aca="false">'Overige terminals'!E25</f>
        <v>160331.506849315</v>
      </c>
      <c r="F16" s="10" t="n">
        <f aca="false">'Overige terminals'!F25</f>
        <v>121975.342465753</v>
      </c>
      <c r="G16" s="7" t="s">
        <v>48</v>
      </c>
      <c r="H16" s="6"/>
    </row>
    <row r="17" customFormat="false" ht="27" hidden="false" customHeight="true" outlineLevel="0" collapsed="false">
      <c r="A17" s="6" t="s">
        <v>49</v>
      </c>
      <c r="B17" s="7" t="s">
        <v>50</v>
      </c>
      <c r="C17" s="6" t="s">
        <v>47</v>
      </c>
      <c r="D17" s="10" t="n">
        <f aca="false">'Overige terminals'!D27</f>
        <v>54687.6712328767</v>
      </c>
      <c r="E17" s="10" t="n">
        <f aca="false">'Overige terminals'!E27</f>
        <v>16331.5068493151</v>
      </c>
      <c r="F17" s="10" t="n">
        <f aca="false">'Overige terminals'!F27</f>
        <v>-22024.6575342466</v>
      </c>
      <c r="G17" s="7" t="s">
        <v>51</v>
      </c>
      <c r="H17" s="6"/>
    </row>
    <row r="18" customFormat="false" ht="27" hidden="false" customHeight="true" outlineLevel="0" collapsed="false">
      <c r="A18" s="6" t="s">
        <v>52</v>
      </c>
      <c r="B18" s="7" t="s">
        <v>53</v>
      </c>
      <c r="C18" s="6" t="s">
        <v>54</v>
      </c>
      <c r="D18" s="10" t="n">
        <f aca="false">'Overige terminals'!D30</f>
        <v>2256.24496373892</v>
      </c>
      <c r="E18" s="10" t="n">
        <f aca="false">'Overige terminals'!E30</f>
        <v>2256.24496373892</v>
      </c>
      <c r="F18" s="10" t="n">
        <f aca="false">'Overige terminals'!F30</f>
        <v>2256.24496373892</v>
      </c>
      <c r="G18" s="7" t="s">
        <v>55</v>
      </c>
      <c r="H18" s="6"/>
    </row>
    <row r="19" customFormat="false" ht="27" hidden="false" customHeight="true" outlineLevel="0" collapsed="false">
      <c r="A19" s="6"/>
      <c r="B19" s="7"/>
      <c r="C19" s="6"/>
      <c r="D19" s="10"/>
      <c r="E19" s="10"/>
      <c r="F19" s="10"/>
      <c r="G19" s="6"/>
      <c r="H19" s="6"/>
    </row>
    <row r="20" customFormat="false" ht="27" hidden="false" customHeight="true" outlineLevel="0" collapsed="false">
      <c r="A20" s="6"/>
      <c r="B20" s="7"/>
      <c r="C20" s="6"/>
      <c r="D20" s="10"/>
      <c r="E20" s="10"/>
      <c r="F20" s="10"/>
      <c r="G20" s="6"/>
      <c r="H20" s="6"/>
    </row>
    <row r="21" customFormat="false" ht="24.75" hidden="false" customHeight="true" outlineLevel="0" collapsed="false">
      <c r="A21" s="12" t="s">
        <v>56</v>
      </c>
      <c r="B21" s="13"/>
      <c r="C21" s="13"/>
      <c r="D21" s="14"/>
      <c r="E21" s="14"/>
      <c r="F21" s="14"/>
      <c r="G21" s="13"/>
      <c r="H21" s="13"/>
    </row>
    <row r="22" customFormat="false" ht="30.75" hidden="false" customHeight="true" outlineLevel="0" collapsed="false">
      <c r="A22" s="6"/>
      <c r="B22" s="7"/>
      <c r="C22" s="7"/>
      <c r="D22" s="10"/>
      <c r="E22" s="10"/>
      <c r="F22" s="10"/>
      <c r="G22" s="7"/>
      <c r="H22" s="7"/>
    </row>
    <row r="23" customFormat="false" ht="30.75" hidden="false" customHeight="true" outlineLevel="0" collapsed="false">
      <c r="A23" s="6"/>
      <c r="B23" s="7" t="s">
        <v>57</v>
      </c>
      <c r="C23" s="7" t="s">
        <v>23</v>
      </c>
      <c r="D23" s="10" t="n">
        <f aca="false">Nautiek!D20</f>
        <v>220</v>
      </c>
      <c r="E23" s="10"/>
      <c r="F23" s="10"/>
      <c r="G23" s="7"/>
      <c r="H23" s="7"/>
    </row>
    <row r="24" customFormat="false" ht="30.75" hidden="false" customHeight="true" outlineLevel="0" collapsed="false">
      <c r="A24" s="6"/>
      <c r="B24" s="7" t="s">
        <v>58</v>
      </c>
      <c r="C24" s="7" t="s">
        <v>23</v>
      </c>
      <c r="D24" s="10" t="n">
        <f aca="false">Nautiek!D46</f>
        <v>260</v>
      </c>
      <c r="E24" s="10"/>
      <c r="F24" s="10"/>
      <c r="G24" s="7"/>
      <c r="H24" s="7"/>
    </row>
    <row r="25" customFormat="false" ht="30.75" hidden="false" customHeight="true" outlineLevel="0" collapsed="false">
      <c r="A25" s="6"/>
      <c r="B25" s="7" t="s">
        <v>59</v>
      </c>
      <c r="C25" s="7" t="s">
        <v>60</v>
      </c>
      <c r="D25" s="10" t="n">
        <f aca="false">Nautiek!D25</f>
        <v>18.2</v>
      </c>
      <c r="E25" s="10"/>
      <c r="F25" s="10"/>
      <c r="G25" s="7"/>
      <c r="H25" s="7"/>
    </row>
    <row r="26" customFormat="false" ht="30.75" hidden="false" customHeight="true" outlineLevel="0" collapsed="false">
      <c r="A26" s="6"/>
      <c r="B26" s="7" t="s">
        <v>61</v>
      </c>
      <c r="C26" s="7" t="s">
        <v>60</v>
      </c>
      <c r="D26" s="10" t="n">
        <f aca="false">Nautiek!D60</f>
        <v>16.2</v>
      </c>
      <c r="E26" s="10"/>
      <c r="F26" s="10"/>
      <c r="G26" s="7"/>
      <c r="H26" s="7"/>
    </row>
    <row r="27" customFormat="false" ht="30.75" hidden="false" customHeight="true" outlineLevel="0" collapsed="false">
      <c r="A27" s="6"/>
      <c r="B27" s="7" t="s">
        <v>62</v>
      </c>
      <c r="C27" s="7" t="s">
        <v>60</v>
      </c>
      <c r="D27" s="10" t="n">
        <f aca="false">Nautiek!D61</f>
        <v>13.7</v>
      </c>
      <c r="E27" s="10"/>
      <c r="F27" s="10"/>
      <c r="G27" s="7"/>
      <c r="H27" s="7"/>
    </row>
    <row r="28" customFormat="false" ht="30.75" hidden="false" customHeight="true" outlineLevel="0" collapsed="false">
      <c r="A28" s="6"/>
      <c r="B28" s="7" t="s">
        <v>63</v>
      </c>
      <c r="C28" s="7" t="s">
        <v>23</v>
      </c>
      <c r="D28" s="10" t="n">
        <f aca="false">Nautiek!D28</f>
        <v>720</v>
      </c>
      <c r="E28" s="10"/>
      <c r="F28" s="10"/>
      <c r="G28" s="7"/>
      <c r="H28" s="7"/>
    </row>
    <row r="29" customFormat="false" ht="30.75" hidden="false" customHeight="true" outlineLevel="0" collapsed="false">
      <c r="A29" s="6"/>
      <c r="B29" s="7" t="s">
        <v>64</v>
      </c>
      <c r="C29" s="7" t="s">
        <v>23</v>
      </c>
      <c r="D29" s="10" t="n">
        <f aca="false">Nautiek!D45</f>
        <v>670</v>
      </c>
      <c r="E29" s="10"/>
      <c r="F29" s="10"/>
      <c r="G29" s="7"/>
      <c r="H29" s="7"/>
    </row>
    <row r="30" customFormat="false" ht="30.75" hidden="false" customHeight="true" outlineLevel="0" collapsed="false">
      <c r="A30" s="6"/>
      <c r="B30" s="7" t="s">
        <v>65</v>
      </c>
      <c r="C30" s="7" t="s">
        <v>23</v>
      </c>
      <c r="D30" s="10" t="n">
        <f aca="false">Nautiek!D29</f>
        <v>350</v>
      </c>
      <c r="E30" s="10"/>
      <c r="F30" s="10"/>
      <c r="G30" s="7"/>
      <c r="H30" s="7"/>
    </row>
    <row r="31" customFormat="false" ht="30.75" hidden="false" customHeight="true" outlineLevel="0" collapsed="false">
      <c r="A31" s="6"/>
      <c r="B31" s="7" t="s">
        <v>66</v>
      </c>
      <c r="C31" s="7" t="s">
        <v>23</v>
      </c>
      <c r="D31" s="10" t="n">
        <f aca="false">Nautiek!D31</f>
        <v>21945.5096812288</v>
      </c>
      <c r="E31" s="10"/>
      <c r="F31" s="10"/>
      <c r="G31" s="7"/>
      <c r="H31" s="7"/>
    </row>
    <row r="32" customFormat="false" ht="30.75" hidden="false" customHeight="true" outlineLevel="0" collapsed="false">
      <c r="A32" s="6"/>
      <c r="B32" s="7" t="s">
        <v>67</v>
      </c>
      <c r="C32" s="7" t="s">
        <v>23</v>
      </c>
      <c r="D32" s="10" t="n">
        <f aca="false">Nautiek!D50</f>
        <v>20225.4509640624</v>
      </c>
      <c r="E32" s="10"/>
      <c r="F32" s="10"/>
      <c r="G32" s="7"/>
      <c r="H32" s="7"/>
    </row>
    <row r="33" customFormat="false" ht="30.75" hidden="false" customHeight="true" outlineLevel="0" collapsed="false">
      <c r="A33" s="6"/>
      <c r="B33" s="7" t="s">
        <v>68</v>
      </c>
      <c r="C33" s="7" t="s">
        <v>23</v>
      </c>
      <c r="D33" s="10" t="n">
        <f aca="false">Nautiek!D47</f>
        <v>3400</v>
      </c>
      <c r="E33" s="10"/>
      <c r="F33" s="10"/>
      <c r="G33" s="7"/>
      <c r="H33" s="7"/>
    </row>
    <row r="34" customFormat="false" ht="42.75" hidden="false" customHeight="true" outlineLevel="0" collapsed="false">
      <c r="A34" s="6"/>
      <c r="B34" s="7" t="s">
        <v>69</v>
      </c>
      <c r="C34" s="7"/>
      <c r="D34" s="15" t="str">
        <f aca="false">Nautiek!D54</f>
        <v>KEUZE 2,0 LOA ONDERBOUWEN</v>
      </c>
      <c r="E34" s="15"/>
      <c r="F34" s="15"/>
      <c r="G34" s="7"/>
      <c r="H34" s="7"/>
    </row>
    <row r="35" customFormat="false" ht="30.75" hidden="false" customHeight="true" outlineLevel="0" collapsed="false">
      <c r="A35" s="6"/>
      <c r="B35" s="7"/>
      <c r="C35" s="7"/>
      <c r="D35" s="10"/>
      <c r="E35" s="10"/>
      <c r="F35" s="10"/>
      <c r="G35" s="7"/>
      <c r="H35" s="7"/>
    </row>
    <row r="36" customFormat="false" ht="24.75" hidden="false" customHeight="true" outlineLevel="0" collapsed="false">
      <c r="A36" s="12" t="s">
        <v>70</v>
      </c>
      <c r="B36" s="13"/>
      <c r="C36" s="13"/>
      <c r="D36" s="14"/>
      <c r="E36" s="14"/>
      <c r="F36" s="14"/>
      <c r="G36" s="13"/>
      <c r="H36" s="13"/>
    </row>
    <row r="37" customFormat="false" ht="31.5" hidden="false" customHeight="true" outlineLevel="0" collapsed="false">
      <c r="A37" s="5" t="s">
        <v>3</v>
      </c>
      <c r="B37" s="5" t="s">
        <v>71</v>
      </c>
      <c r="C37" s="5" t="s">
        <v>5</v>
      </c>
      <c r="D37" s="16" t="s">
        <v>6</v>
      </c>
      <c r="E37" s="16" t="s">
        <v>7</v>
      </c>
      <c r="F37" s="16" t="s">
        <v>8</v>
      </c>
      <c r="G37" s="5" t="s">
        <v>9</v>
      </c>
      <c r="H37" s="5"/>
    </row>
    <row r="38" customFormat="false" ht="48" hidden="false" customHeight="true" outlineLevel="0" collapsed="false">
      <c r="A38" s="6" t="s">
        <v>72</v>
      </c>
      <c r="B38" s="7" t="s">
        <v>73</v>
      </c>
      <c r="C38" s="7" t="s">
        <v>74</v>
      </c>
      <c r="D38" s="10" t="n">
        <f aca="false">Containers!D48</f>
        <v>-8219.17808219178</v>
      </c>
      <c r="E38" s="10" t="n">
        <f aca="false">Containers!E48</f>
        <v>-13698.6301369863</v>
      </c>
      <c r="F38" s="10" t="n">
        <f aca="false">Containers!F48</f>
        <v>-24904.5602739726</v>
      </c>
      <c r="G38" s="7" t="s">
        <v>75</v>
      </c>
      <c r="H38" s="7"/>
    </row>
    <row r="39" customFormat="false" ht="48" hidden="false" customHeight="true" outlineLevel="0" collapsed="false">
      <c r="A39" s="6" t="s">
        <v>76</v>
      </c>
      <c r="B39" s="7" t="s">
        <v>77</v>
      </c>
      <c r="C39" s="7" t="s">
        <v>78</v>
      </c>
      <c r="D39" s="15" t="str">
        <f aca="false">Containers!D41</f>
        <v>VOLDOET REKENKUNDIG</v>
      </c>
      <c r="E39" s="15" t="str">
        <f aca="false">Containers!E41</f>
        <v>VOLDOET REKENKUNDIG</v>
      </c>
      <c r="F39" s="15" t="str">
        <f aca="false">Containers!F41</f>
        <v>VOLDOET REKENKUNDIG</v>
      </c>
      <c r="G39" s="7" t="s">
        <v>79</v>
      </c>
      <c r="H39" s="7"/>
    </row>
    <row r="40" customFormat="false" ht="48" hidden="false" customHeight="true" outlineLevel="0" collapsed="false">
      <c r="A40" s="6" t="s">
        <v>80</v>
      </c>
      <c r="B40" s="7" t="s">
        <v>81</v>
      </c>
      <c r="C40" s="7" t="s">
        <v>82</v>
      </c>
      <c r="D40" s="10" t="n">
        <f aca="false">'Overige terminals'!D65</f>
        <v>8094</v>
      </c>
      <c r="E40" s="10" t="n">
        <f aca="false">'Overige terminals'!E65</f>
        <v>5066</v>
      </c>
      <c r="F40" s="10" t="n">
        <f aca="false">'Overige terminals'!F65</f>
        <v>2217</v>
      </c>
      <c r="G40" s="7" t="s">
        <v>83</v>
      </c>
      <c r="H40" s="7"/>
    </row>
    <row r="41" customFormat="false" ht="48" hidden="false" customHeight="true" outlineLevel="0" collapsed="false">
      <c r="A41" s="6" t="s">
        <v>84</v>
      </c>
      <c r="B41" s="7" t="s">
        <v>85</v>
      </c>
      <c r="C41" s="7" t="s">
        <v>86</v>
      </c>
      <c r="D41" s="10" t="n">
        <f aca="false">'Overige terminals'!D49</f>
        <v>0</v>
      </c>
      <c r="E41" s="10" t="n">
        <f aca="false">'Overige terminals'!E49</f>
        <v>0</v>
      </c>
      <c r="F41" s="10" t="n">
        <f aca="false">'Overige terminals'!F49</f>
        <v>1428.18607663194</v>
      </c>
      <c r="G41" s="7" t="s">
        <v>87</v>
      </c>
      <c r="H41" s="7"/>
    </row>
    <row r="42" customFormat="false" ht="48" hidden="false" customHeight="true" outlineLevel="0" collapsed="false">
      <c r="A42" s="6" t="s">
        <v>88</v>
      </c>
      <c r="B42" s="7" t="s">
        <v>89</v>
      </c>
      <c r="C42" s="7" t="s">
        <v>78</v>
      </c>
      <c r="D42" s="15" t="str">
        <f aca="false">'Overige terminals'!D56</f>
        <v>VOLDOET INDICATIEF</v>
      </c>
      <c r="E42" s="15" t="str">
        <f aca="false">'Overige terminals'!E56</f>
        <v>VOLDOET INDICATIEF</v>
      </c>
      <c r="F42" s="15" t="str">
        <f aca="false">'Overige terminals'!F56</f>
        <v>VOLDOET INDICATIEF</v>
      </c>
      <c r="G42" s="7" t="s">
        <v>90</v>
      </c>
      <c r="H42" s="7"/>
    </row>
    <row r="43" customFormat="false" ht="48" hidden="false" customHeight="true" outlineLevel="0" collapsed="false">
      <c r="A43" s="6" t="s">
        <v>91</v>
      </c>
      <c r="B43" s="7" t="s">
        <v>1</v>
      </c>
      <c r="C43" s="7" t="s">
        <v>12</v>
      </c>
      <c r="D43" s="17" t="n">
        <f aca="false">'Overige terminals'!D74</f>
        <v>3</v>
      </c>
      <c r="E43" s="17" t="n">
        <f aca="false">'Overige terminals'!E74</f>
        <v>3</v>
      </c>
      <c r="F43" s="17" t="n">
        <f aca="false">'Overige terminals'!F74</f>
        <v>3</v>
      </c>
      <c r="G43" s="7" t="s">
        <v>92</v>
      </c>
      <c r="H43" s="7"/>
    </row>
    <row r="44" customFormat="false" ht="48" hidden="false" customHeight="true" outlineLevel="0" collapsed="false">
      <c r="A44" s="6" t="s">
        <v>93</v>
      </c>
      <c r="B44" s="7" t="s">
        <v>94</v>
      </c>
      <c r="C44" s="7" t="s">
        <v>78</v>
      </c>
      <c r="D44" s="15" t="str">
        <f aca="false">'Overige terminals'!D77</f>
        <v>VOLDOET REKENKUNDIG</v>
      </c>
      <c r="E44" s="15" t="str">
        <f aca="false">'Overige terminals'!E77</f>
        <v>VOLDOET REKENKUNDIG</v>
      </c>
      <c r="F44" s="15" t="str">
        <f aca="false">'Overige terminals'!F77</f>
        <v>N-1 OPSLAGTEKORT</v>
      </c>
      <c r="G44" s="7" t="s">
        <v>95</v>
      </c>
      <c r="H44" s="7"/>
    </row>
    <row r="45" customFormat="false" ht="30.75" hidden="false" customHeight="true" outlineLevel="0" collapsed="false">
      <c r="A45" s="6"/>
      <c r="B45" s="7"/>
      <c r="C45" s="7"/>
      <c r="D45" s="10"/>
      <c r="E45" s="10"/>
      <c r="F45" s="10"/>
      <c r="G45" s="7"/>
      <c r="H45" s="7"/>
    </row>
    <row r="46" customFormat="false" ht="30.75" hidden="false" customHeight="true" outlineLevel="0" collapsed="false">
      <c r="A46" s="6"/>
      <c r="B46" s="7"/>
      <c r="C46" s="7"/>
      <c r="D46" s="10"/>
      <c r="E46" s="10"/>
      <c r="F46" s="10"/>
      <c r="G46" s="7"/>
      <c r="H46" s="7"/>
    </row>
    <row r="47" customFormat="false" ht="24.75" hidden="false" customHeight="true" outlineLevel="0" collapsed="false">
      <c r="A47" s="12" t="s">
        <v>96</v>
      </c>
      <c r="B47" s="13"/>
      <c r="C47" s="13"/>
      <c r="D47" s="14"/>
      <c r="E47" s="14"/>
      <c r="F47" s="14"/>
      <c r="G47" s="13"/>
      <c r="H47" s="13"/>
    </row>
    <row r="48" customFormat="false" ht="42.75" hidden="false" customHeight="true" outlineLevel="0" collapsed="false">
      <c r="A48" s="6"/>
      <c r="B48" s="7" t="s">
        <v>97</v>
      </c>
      <c r="C48" s="7"/>
      <c r="D48" s="10" t="s">
        <v>98</v>
      </c>
      <c r="E48" s="10"/>
      <c r="F48" s="10"/>
      <c r="G48" s="7"/>
      <c r="H48" s="7" t="s">
        <v>99</v>
      </c>
    </row>
    <row r="49" customFormat="false" ht="42.75" hidden="false" customHeight="true" outlineLevel="0" collapsed="false">
      <c r="A49" s="6"/>
      <c r="B49" s="7" t="s">
        <v>100</v>
      </c>
      <c r="C49" s="7"/>
      <c r="D49" s="10" t="s">
        <v>101</v>
      </c>
      <c r="E49" s="10"/>
      <c r="F49" s="10"/>
      <c r="G49" s="7"/>
      <c r="H49" s="7" t="s">
        <v>102</v>
      </c>
    </row>
    <row r="50" customFormat="false" ht="42.75" hidden="false" customHeight="true" outlineLevel="0" collapsed="false">
      <c r="A50" s="6"/>
      <c r="B50" s="7" t="s">
        <v>103</v>
      </c>
      <c r="C50" s="7"/>
      <c r="D50" s="10" t="s">
        <v>104</v>
      </c>
      <c r="E50" s="10"/>
      <c r="F50" s="10"/>
      <c r="G50" s="7"/>
      <c r="H50" s="7" t="s">
        <v>105</v>
      </c>
    </row>
    <row r="51" customFormat="false" ht="42.75" hidden="false" customHeight="true" outlineLevel="0" collapsed="false">
      <c r="A51" s="6"/>
      <c r="B51" s="7" t="s">
        <v>106</v>
      </c>
      <c r="C51" s="7"/>
      <c r="D51" s="15" t="str">
        <f aca="false">IF(COUNT(Grondwerk!F17)=1,"VOORLOPIGE SCHATTING","NOG NIET BEPAALD")</f>
        <v>VOORLOPIGE SCHATTING</v>
      </c>
      <c r="E51" s="15"/>
      <c r="F51" s="15"/>
      <c r="G51" s="7"/>
      <c r="H51" s="7" t="s">
        <v>107</v>
      </c>
    </row>
    <row r="52" customFormat="false" ht="42.75" hidden="false" customHeight="true" outlineLevel="0" collapsed="false">
      <c r="A52" s="6"/>
      <c r="B52" s="7" t="s">
        <v>108</v>
      </c>
      <c r="C52" s="7"/>
      <c r="D52" s="10" t="s">
        <v>109</v>
      </c>
      <c r="E52" s="10"/>
      <c r="F52" s="10"/>
      <c r="G52" s="7"/>
      <c r="H52" s="7" t="s">
        <v>110</v>
      </c>
    </row>
    <row r="53" customFormat="false" ht="30.75" hidden="false" customHeight="true" outlineLevel="0" collapsed="false">
      <c r="A53" s="6"/>
      <c r="B53" s="7"/>
      <c r="C53" s="7"/>
      <c r="D53" s="10"/>
      <c r="E53" s="10"/>
      <c r="F53" s="10"/>
      <c r="G53" s="7"/>
      <c r="H53" s="7"/>
    </row>
    <row r="54" customFormat="false" ht="30.75" hidden="false" customHeight="true" outlineLevel="0" collapsed="false">
      <c r="A54" s="6"/>
      <c r="B54" s="7"/>
      <c r="C54" s="7"/>
      <c r="D54" s="10"/>
      <c r="E54" s="10"/>
      <c r="F54" s="10"/>
      <c r="G54" s="7"/>
      <c r="H54" s="7"/>
    </row>
    <row r="55" customFormat="false" ht="30.75" hidden="false" customHeight="true" outlineLevel="0" collapsed="false">
      <c r="A55" s="6"/>
      <c r="B55" s="7"/>
      <c r="C55" s="7"/>
      <c r="D55" s="10"/>
      <c r="E55" s="10"/>
      <c r="F55" s="10"/>
      <c r="G55" s="7"/>
      <c r="H55" s="7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</row>
  </sheetData>
  <conditionalFormatting sqref="D17:F17">
    <cfRule type="cellIs" priority="2" operator="lessThan" aboveAverage="0" equalAverage="0" bottom="0" percent="0" rank="0" text="" dxfId="0">
      <formula>0</formula>
    </cfRule>
  </conditionalFormatting>
  <conditionalFormatting sqref="D38:F38">
    <cfRule type="cellIs" priority="3" operator="lessThan" aboveAverage="0" equalAverage="0" bottom="0" percent="0" rank="0" text="" dxfId="1">
      <formula>0</formula>
    </cfRule>
  </conditionalFormatting>
  <conditionalFormatting sqref="D40:F40">
    <cfRule type="cellIs" priority="4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38AA6"/>
    <pageSetUpPr fitToPage="false"/>
  </sheetPr>
  <dimension ref="A1:H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9"/>
    <col collapsed="false" customWidth="true" hidden="false" outlineLevel="0" max="3" min="3" style="0" width="18"/>
    <col collapsed="false" customWidth="true" hidden="false" outlineLevel="0" max="6" min="4" style="0" width="17"/>
    <col collapsed="false" customWidth="true" hidden="false" outlineLevel="0" max="7" min="7" style="0" width="24"/>
    <col collapsed="false" customWidth="true" hidden="false" outlineLevel="0" max="8" min="8" style="0" width="6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8.55" hidden="false" customHeight="false" outlineLevel="0" collapsed="false">
      <c r="A2" s="2" t="s">
        <v>111</v>
      </c>
      <c r="B2" s="2"/>
      <c r="C2" s="2"/>
      <c r="D2" s="2"/>
      <c r="E2" s="2"/>
      <c r="F2" s="2"/>
      <c r="G2" s="2"/>
      <c r="H2" s="2"/>
    </row>
    <row r="3" customFormat="false" ht="42.75" hidden="false" customHeight="true" outlineLevel="0" collapsed="false">
      <c r="A3" s="3"/>
      <c r="B3" s="3" t="s">
        <v>1</v>
      </c>
      <c r="C3" s="3"/>
      <c r="D3" s="18" t="n">
        <v>3</v>
      </c>
      <c r="E3" s="3"/>
      <c r="F3" s="3"/>
      <c r="G3" s="3"/>
      <c r="H3" s="19" t="s">
        <v>112</v>
      </c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27" hidden="false" customHeight="true" outlineLevel="0" collapsed="false">
      <c r="A5" s="5" t="s">
        <v>3</v>
      </c>
      <c r="B5" s="5" t="s">
        <v>113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114</v>
      </c>
      <c r="H5" s="5" t="s">
        <v>115</v>
      </c>
    </row>
    <row r="6" customFormat="false" ht="27" hidden="false" customHeight="true" outlineLevel="0" collapsed="false">
      <c r="A6" s="20" t="s">
        <v>116</v>
      </c>
      <c r="B6" s="7" t="s">
        <v>117</v>
      </c>
      <c r="C6" s="7" t="s">
        <v>118</v>
      </c>
      <c r="D6" s="21" t="n">
        <v>1200000</v>
      </c>
      <c r="E6" s="21" t="n">
        <v>2000000</v>
      </c>
      <c r="F6" s="21" t="n">
        <v>4000000</v>
      </c>
      <c r="G6" s="7" t="s">
        <v>119</v>
      </c>
      <c r="H6" s="7" t="s">
        <v>120</v>
      </c>
    </row>
    <row r="7" customFormat="false" ht="27" hidden="false" customHeight="true" outlineLevel="0" collapsed="false">
      <c r="A7" s="20" t="s">
        <v>121</v>
      </c>
      <c r="B7" s="7" t="s">
        <v>122</v>
      </c>
      <c r="C7" s="7" t="s">
        <v>123</v>
      </c>
      <c r="D7" s="21" t="n">
        <v>500000</v>
      </c>
      <c r="E7" s="21" t="n">
        <v>1000000</v>
      </c>
      <c r="F7" s="21" t="n">
        <v>1500000</v>
      </c>
      <c r="G7" s="7" t="s">
        <v>119</v>
      </c>
      <c r="H7" s="7" t="s">
        <v>120</v>
      </c>
    </row>
    <row r="8" customFormat="false" ht="27" hidden="false" customHeight="true" outlineLevel="0" collapsed="false">
      <c r="A8" s="20" t="s">
        <v>124</v>
      </c>
      <c r="B8" s="7" t="s">
        <v>125</v>
      </c>
      <c r="C8" s="7" t="s">
        <v>126</v>
      </c>
      <c r="D8" s="21" t="n">
        <v>45000</v>
      </c>
      <c r="E8" s="21" t="n">
        <v>130000</v>
      </c>
      <c r="F8" s="21" t="n">
        <v>210000</v>
      </c>
      <c r="G8" s="7" t="s">
        <v>119</v>
      </c>
      <c r="H8" s="7" t="s">
        <v>120</v>
      </c>
    </row>
    <row r="9" customFormat="false" ht="27" hidden="false" customHeight="true" outlineLevel="0" collapsed="false">
      <c r="A9" s="20" t="s">
        <v>127</v>
      </c>
      <c r="B9" s="7" t="s">
        <v>128</v>
      </c>
      <c r="C9" s="7" t="s">
        <v>129</v>
      </c>
      <c r="D9" s="21" t="n">
        <v>4000000</v>
      </c>
      <c r="E9" s="21" t="n">
        <v>6000000</v>
      </c>
      <c r="F9" s="21" t="n">
        <v>8000000</v>
      </c>
      <c r="G9" s="7" t="s">
        <v>119</v>
      </c>
      <c r="H9" s="7" t="s">
        <v>120</v>
      </c>
    </row>
    <row r="10" customFormat="false" ht="27" hidden="false" customHeight="true" outlineLevel="0" collapsed="false">
      <c r="A10" s="20" t="s">
        <v>130</v>
      </c>
      <c r="B10" s="7" t="s">
        <v>131</v>
      </c>
      <c r="C10" s="7" t="s">
        <v>132</v>
      </c>
      <c r="D10" s="21" t="n">
        <v>365</v>
      </c>
      <c r="E10" s="10" t="n">
        <f aca="false">$D10</f>
        <v>365</v>
      </c>
      <c r="F10" s="10" t="n">
        <f aca="false">$D10</f>
        <v>365</v>
      </c>
      <c r="G10" s="7" t="s">
        <v>133</v>
      </c>
      <c r="H10" s="7" t="s">
        <v>134</v>
      </c>
    </row>
    <row r="11" customFormat="false" ht="27" hidden="false" customHeight="true" outlineLevel="0" collapsed="false">
      <c r="A11" s="20" t="s">
        <v>135</v>
      </c>
      <c r="B11" s="7" t="s">
        <v>136</v>
      </c>
      <c r="C11" s="7" t="s">
        <v>19</v>
      </c>
      <c r="D11" s="22" t="n">
        <v>0.95</v>
      </c>
      <c r="E11" s="9" t="n">
        <f aca="false">$D11</f>
        <v>0.95</v>
      </c>
      <c r="F11" s="9" t="n">
        <f aca="false">$D11</f>
        <v>0.95</v>
      </c>
      <c r="G11" s="7" t="s">
        <v>137</v>
      </c>
      <c r="H11" s="7" t="s">
        <v>138</v>
      </c>
    </row>
    <row r="12" customFormat="false" ht="27" hidden="false" customHeight="true" outlineLevel="0" collapsed="false">
      <c r="A12" s="20" t="s">
        <v>139</v>
      </c>
      <c r="B12" s="7" t="s">
        <v>140</v>
      </c>
      <c r="C12" s="7" t="s">
        <v>19</v>
      </c>
      <c r="D12" s="22" t="n">
        <v>0.65</v>
      </c>
      <c r="E12" s="9" t="n">
        <f aca="false">$D12</f>
        <v>0.65</v>
      </c>
      <c r="F12" s="9" t="n">
        <f aca="false">$D12</f>
        <v>0.65</v>
      </c>
      <c r="G12" s="7" t="s">
        <v>141</v>
      </c>
      <c r="H12" s="7" t="s">
        <v>142</v>
      </c>
    </row>
    <row r="13" customFormat="false" ht="27" hidden="false" customHeight="true" outlineLevel="0" collapsed="false">
      <c r="A13" s="20" t="s">
        <v>143</v>
      </c>
      <c r="B13" s="7" t="s">
        <v>144</v>
      </c>
      <c r="C13" s="7" t="s">
        <v>78</v>
      </c>
      <c r="D13" s="21" t="n">
        <v>1.2</v>
      </c>
      <c r="E13" s="10" t="n">
        <f aca="false">$D13</f>
        <v>1.2</v>
      </c>
      <c r="F13" s="10" t="n">
        <f aca="false">$D13</f>
        <v>1.2</v>
      </c>
      <c r="G13" s="7" t="s">
        <v>119</v>
      </c>
      <c r="H13" s="7" t="s">
        <v>145</v>
      </c>
    </row>
    <row r="14" customFormat="false" ht="27" hidden="false" customHeight="true" outlineLevel="0" collapsed="false">
      <c r="A14" s="20" t="s">
        <v>146</v>
      </c>
      <c r="B14" s="7" t="s">
        <v>147</v>
      </c>
      <c r="C14" s="7" t="s">
        <v>148</v>
      </c>
      <c r="D14" s="21" t="n">
        <v>4500</v>
      </c>
      <c r="E14" s="10" t="n">
        <f aca="false">$D14</f>
        <v>4500</v>
      </c>
      <c r="F14" s="10" t="n">
        <f aca="false">$D14</f>
        <v>4500</v>
      </c>
      <c r="G14" s="7" t="s">
        <v>137</v>
      </c>
      <c r="H14" s="7" t="s">
        <v>149</v>
      </c>
    </row>
    <row r="15" customFormat="false" ht="27" hidden="false" customHeight="true" outlineLevel="0" collapsed="false">
      <c r="A15" s="20" t="s">
        <v>150</v>
      </c>
      <c r="B15" s="7" t="s">
        <v>151</v>
      </c>
      <c r="C15" s="7" t="s">
        <v>12</v>
      </c>
      <c r="D15" s="21" t="n">
        <v>3</v>
      </c>
      <c r="E15" s="21" t="n">
        <v>4</v>
      </c>
      <c r="F15" s="21" t="n">
        <v>5</v>
      </c>
      <c r="G15" s="7" t="s">
        <v>152</v>
      </c>
      <c r="H15" s="7" t="s">
        <v>153</v>
      </c>
    </row>
    <row r="16" customFormat="false" ht="27" hidden="false" customHeight="true" outlineLevel="0" collapsed="false">
      <c r="A16" s="20" t="s">
        <v>154</v>
      </c>
      <c r="B16" s="7" t="s">
        <v>155</v>
      </c>
      <c r="C16" s="7" t="s">
        <v>156</v>
      </c>
      <c r="D16" s="21" t="n">
        <v>30</v>
      </c>
      <c r="E16" s="10" t="n">
        <f aca="false">$D16</f>
        <v>30</v>
      </c>
      <c r="F16" s="10" t="n">
        <f aca="false">$D16</f>
        <v>30</v>
      </c>
      <c r="G16" s="7" t="s">
        <v>137</v>
      </c>
      <c r="H16" s="7" t="s">
        <v>157</v>
      </c>
    </row>
    <row r="17" customFormat="false" ht="27" hidden="false" customHeight="true" outlineLevel="0" collapsed="false">
      <c r="A17" s="20" t="s">
        <v>158</v>
      </c>
      <c r="B17" s="7" t="s">
        <v>159</v>
      </c>
      <c r="C17" s="7" t="s">
        <v>160</v>
      </c>
      <c r="D17" s="21" t="n">
        <v>3</v>
      </c>
      <c r="E17" s="10" t="n">
        <f aca="false">$D17</f>
        <v>3</v>
      </c>
      <c r="F17" s="10" t="n">
        <f aca="false">$D17</f>
        <v>3</v>
      </c>
      <c r="G17" s="7" t="s">
        <v>137</v>
      </c>
      <c r="H17" s="7" t="s">
        <v>161</v>
      </c>
    </row>
    <row r="18" customFormat="false" ht="27" hidden="false" customHeight="true" outlineLevel="0" collapsed="false">
      <c r="A18" s="20" t="s">
        <v>162</v>
      </c>
      <c r="B18" s="7" t="s">
        <v>163</v>
      </c>
      <c r="C18" s="7" t="s">
        <v>12</v>
      </c>
      <c r="D18" s="21" t="n">
        <v>2</v>
      </c>
      <c r="E18" s="21" t="n">
        <v>3</v>
      </c>
      <c r="F18" s="21" t="n">
        <v>4</v>
      </c>
      <c r="G18" s="7" t="s">
        <v>152</v>
      </c>
      <c r="H18" s="7" t="s">
        <v>164</v>
      </c>
    </row>
    <row r="19" customFormat="false" ht="27" hidden="false" customHeight="true" outlineLevel="0" collapsed="false">
      <c r="A19" s="20" t="s">
        <v>165</v>
      </c>
      <c r="B19" s="7" t="s">
        <v>166</v>
      </c>
      <c r="C19" s="7" t="s">
        <v>23</v>
      </c>
      <c r="D19" s="23" t="n">
        <f aca="false">Invoer!D107</f>
        <v>401.096091007006</v>
      </c>
      <c r="E19" s="23" t="n">
        <f aca="false">Invoer!E107</f>
        <v>401.096091007006</v>
      </c>
      <c r="F19" s="23" t="n">
        <f aca="false">Invoer!F107</f>
        <v>401.096091007006</v>
      </c>
      <c r="G19" s="7" t="s">
        <v>167</v>
      </c>
      <c r="H19" s="7" t="s">
        <v>168</v>
      </c>
    </row>
    <row r="20" customFormat="false" ht="27" hidden="false" customHeight="true" outlineLevel="0" collapsed="false">
      <c r="A20" s="20" t="s">
        <v>169</v>
      </c>
      <c r="B20" s="7" t="s">
        <v>170</v>
      </c>
      <c r="C20" s="7" t="s">
        <v>30</v>
      </c>
      <c r="D20" s="23" t="n">
        <f aca="false">Invoer!D108</f>
        <v>72.0013758749795</v>
      </c>
      <c r="E20" s="23" t="n">
        <f aca="false">Invoer!E108</f>
        <v>108.002063812585</v>
      </c>
      <c r="F20" s="23" t="n">
        <f aca="false">Invoer!F108</f>
        <v>144.002751750007</v>
      </c>
      <c r="G20" s="7" t="s">
        <v>167</v>
      </c>
      <c r="H20" s="7" t="s">
        <v>168</v>
      </c>
    </row>
    <row r="21" customFormat="false" ht="27" hidden="false" customHeight="true" outlineLevel="0" collapsed="false">
      <c r="A21" s="20" t="s">
        <v>171</v>
      </c>
      <c r="B21" s="7" t="s">
        <v>172</v>
      </c>
      <c r="C21" s="7" t="s">
        <v>19</v>
      </c>
      <c r="D21" s="22" t="n">
        <v>0.5</v>
      </c>
      <c r="E21" s="9" t="n">
        <f aca="false">$D21</f>
        <v>0.5</v>
      </c>
      <c r="F21" s="9" t="n">
        <f aca="false">$D21</f>
        <v>0.5</v>
      </c>
      <c r="G21" s="7" t="s">
        <v>119</v>
      </c>
      <c r="H21" s="7" t="s">
        <v>120</v>
      </c>
    </row>
    <row r="22" customFormat="false" ht="27" hidden="false" customHeight="true" outlineLevel="0" collapsed="false">
      <c r="A22" s="20" t="s">
        <v>173</v>
      </c>
      <c r="B22" s="7" t="s">
        <v>174</v>
      </c>
      <c r="C22" s="7" t="s">
        <v>19</v>
      </c>
      <c r="D22" s="22" t="n">
        <v>0.3</v>
      </c>
      <c r="E22" s="9" t="n">
        <f aca="false">$D22</f>
        <v>0.3</v>
      </c>
      <c r="F22" s="9" t="n">
        <f aca="false">$D22</f>
        <v>0.3</v>
      </c>
      <c r="G22" s="7" t="s">
        <v>119</v>
      </c>
      <c r="H22" s="7" t="s">
        <v>120</v>
      </c>
    </row>
    <row r="23" customFormat="false" ht="27" hidden="false" customHeight="true" outlineLevel="0" collapsed="false">
      <c r="A23" s="20" t="s">
        <v>175</v>
      </c>
      <c r="B23" s="7" t="s">
        <v>176</v>
      </c>
      <c r="C23" s="7" t="s">
        <v>19</v>
      </c>
      <c r="D23" s="22" t="n">
        <v>0.2</v>
      </c>
      <c r="E23" s="9" t="n">
        <f aca="false">$D23</f>
        <v>0.2</v>
      </c>
      <c r="F23" s="9" t="n">
        <f aca="false">$D23</f>
        <v>0.2</v>
      </c>
      <c r="G23" s="7" t="s">
        <v>119</v>
      </c>
      <c r="H23" s="7" t="s">
        <v>120</v>
      </c>
    </row>
    <row r="24" customFormat="false" ht="27" hidden="false" customHeight="true" outlineLevel="0" collapsed="false">
      <c r="A24" s="20" t="s">
        <v>177</v>
      </c>
      <c r="B24" s="7" t="s">
        <v>178</v>
      </c>
      <c r="C24" s="7" t="s">
        <v>179</v>
      </c>
      <c r="D24" s="21" t="n">
        <v>6</v>
      </c>
      <c r="E24" s="10" t="n">
        <f aca="false">$D24</f>
        <v>6</v>
      </c>
      <c r="F24" s="10" t="n">
        <f aca="false">$D24</f>
        <v>6</v>
      </c>
      <c r="G24" s="7" t="s">
        <v>119</v>
      </c>
      <c r="H24" s="7" t="s">
        <v>120</v>
      </c>
    </row>
    <row r="25" customFormat="false" ht="27" hidden="false" customHeight="true" outlineLevel="0" collapsed="false">
      <c r="A25" s="20" t="s">
        <v>180</v>
      </c>
      <c r="B25" s="7" t="s">
        <v>181</v>
      </c>
      <c r="C25" s="7" t="s">
        <v>179</v>
      </c>
      <c r="D25" s="21" t="n">
        <v>4</v>
      </c>
      <c r="E25" s="10" t="n">
        <f aca="false">$D25</f>
        <v>4</v>
      </c>
      <c r="F25" s="10" t="n">
        <f aca="false">$D25</f>
        <v>4</v>
      </c>
      <c r="G25" s="7" t="s">
        <v>119</v>
      </c>
      <c r="H25" s="7" t="s">
        <v>120</v>
      </c>
    </row>
    <row r="26" customFormat="false" ht="27" hidden="false" customHeight="true" outlineLevel="0" collapsed="false">
      <c r="A26" s="20" t="s">
        <v>182</v>
      </c>
      <c r="B26" s="7" t="s">
        <v>183</v>
      </c>
      <c r="C26" s="7" t="s">
        <v>179</v>
      </c>
      <c r="D26" s="21" t="n">
        <v>10</v>
      </c>
      <c r="E26" s="10" t="n">
        <f aca="false">$D26</f>
        <v>10</v>
      </c>
      <c r="F26" s="10" t="n">
        <f aca="false">$D26</f>
        <v>10</v>
      </c>
      <c r="G26" s="7" t="s">
        <v>119</v>
      </c>
      <c r="H26" s="7" t="s">
        <v>120</v>
      </c>
    </row>
    <row r="27" customFormat="false" ht="27" hidden="false" customHeight="true" outlineLevel="0" collapsed="false">
      <c r="A27" s="20" t="s">
        <v>184</v>
      </c>
      <c r="B27" s="7" t="s">
        <v>185</v>
      </c>
      <c r="C27" s="7" t="s">
        <v>78</v>
      </c>
      <c r="D27" s="21" t="n">
        <v>1.25</v>
      </c>
      <c r="E27" s="10" t="n">
        <f aca="false">$D27</f>
        <v>1.25</v>
      </c>
      <c r="F27" s="10" t="n">
        <f aca="false">$D27</f>
        <v>1.25</v>
      </c>
      <c r="G27" s="7" t="s">
        <v>137</v>
      </c>
      <c r="H27" s="7" t="s">
        <v>186</v>
      </c>
    </row>
    <row r="28" customFormat="false" ht="27" hidden="false" customHeight="true" outlineLevel="0" collapsed="false">
      <c r="A28" s="20" t="s">
        <v>187</v>
      </c>
      <c r="B28" s="7" t="s">
        <v>188</v>
      </c>
      <c r="C28" s="7" t="s">
        <v>189</v>
      </c>
      <c r="D28" s="21" t="n">
        <v>3</v>
      </c>
      <c r="E28" s="10" t="n">
        <f aca="false">$D28</f>
        <v>3</v>
      </c>
      <c r="F28" s="10" t="n">
        <f aca="false">$D28</f>
        <v>3</v>
      </c>
      <c r="G28" s="7" t="s">
        <v>137</v>
      </c>
      <c r="H28" s="7" t="s">
        <v>190</v>
      </c>
    </row>
    <row r="29" customFormat="false" ht="27" hidden="false" customHeight="true" outlineLevel="0" collapsed="false">
      <c r="A29" s="20" t="s">
        <v>191</v>
      </c>
      <c r="B29" s="7" t="s">
        <v>192</v>
      </c>
      <c r="C29" s="7" t="s">
        <v>19</v>
      </c>
      <c r="D29" s="22" t="n">
        <v>0.7</v>
      </c>
      <c r="E29" s="9" t="n">
        <f aca="false">$D29</f>
        <v>0.7</v>
      </c>
      <c r="F29" s="9" t="n">
        <f aca="false">$D29</f>
        <v>0.7</v>
      </c>
      <c r="G29" s="7" t="s">
        <v>137</v>
      </c>
      <c r="H29" s="7" t="s">
        <v>193</v>
      </c>
    </row>
    <row r="30" customFormat="false" ht="27" hidden="false" customHeight="true" outlineLevel="0" collapsed="false">
      <c r="A30" s="20" t="s">
        <v>194</v>
      </c>
      <c r="B30" s="7" t="s">
        <v>195</v>
      </c>
      <c r="C30" s="7" t="s">
        <v>196</v>
      </c>
      <c r="D30" s="21" t="n">
        <v>28</v>
      </c>
      <c r="E30" s="10" t="n">
        <f aca="false">$D30</f>
        <v>28</v>
      </c>
      <c r="F30" s="10" t="n">
        <f aca="false">$D30</f>
        <v>28</v>
      </c>
      <c r="G30" s="7" t="s">
        <v>137</v>
      </c>
      <c r="H30" s="7" t="s">
        <v>197</v>
      </c>
    </row>
    <row r="31" customFormat="false" ht="27" hidden="false" customHeight="true" outlineLevel="0" collapsed="false">
      <c r="A31" s="20" t="s">
        <v>198</v>
      </c>
      <c r="B31" s="7" t="s">
        <v>199</v>
      </c>
      <c r="C31" s="7" t="s">
        <v>78</v>
      </c>
      <c r="D31" s="21" t="n">
        <v>1.2</v>
      </c>
      <c r="E31" s="10" t="n">
        <f aca="false">$D31</f>
        <v>1.2</v>
      </c>
      <c r="F31" s="10" t="n">
        <f aca="false">$D31</f>
        <v>1.2</v>
      </c>
      <c r="G31" s="7" t="s">
        <v>137</v>
      </c>
      <c r="H31" s="7" t="s">
        <v>200</v>
      </c>
    </row>
    <row r="32" customFormat="false" ht="27" hidden="false" customHeight="true" outlineLevel="0" collapsed="false">
      <c r="A32" s="20" t="s">
        <v>201</v>
      </c>
      <c r="B32" s="7" t="s">
        <v>202</v>
      </c>
      <c r="C32" s="7" t="s">
        <v>203</v>
      </c>
      <c r="D32" s="21" t="n">
        <v>65000</v>
      </c>
      <c r="E32" s="10" t="n">
        <f aca="false">$D32</f>
        <v>65000</v>
      </c>
      <c r="F32" s="10" t="n">
        <f aca="false">$D32</f>
        <v>65000</v>
      </c>
      <c r="G32" s="7" t="s">
        <v>137</v>
      </c>
      <c r="H32" s="7" t="s">
        <v>204</v>
      </c>
    </row>
    <row r="33" customFormat="false" ht="27" hidden="false" customHeight="true" outlineLevel="0" collapsed="false">
      <c r="A33" s="20" t="s">
        <v>205</v>
      </c>
      <c r="B33" s="7" t="s">
        <v>206</v>
      </c>
      <c r="C33" s="7" t="s">
        <v>207</v>
      </c>
      <c r="D33" s="21" t="n">
        <v>1000</v>
      </c>
      <c r="E33" s="10" t="n">
        <f aca="false">$D33</f>
        <v>1000</v>
      </c>
      <c r="F33" s="10" t="n">
        <f aca="false">$D33</f>
        <v>1000</v>
      </c>
      <c r="G33" s="7" t="s">
        <v>137</v>
      </c>
      <c r="H33" s="7" t="s">
        <v>208</v>
      </c>
    </row>
    <row r="34" customFormat="false" ht="27" hidden="false" customHeight="true" outlineLevel="0" collapsed="false">
      <c r="A34" s="20" t="s">
        <v>209</v>
      </c>
      <c r="B34" s="7" t="s">
        <v>210</v>
      </c>
      <c r="C34" s="7" t="s">
        <v>160</v>
      </c>
      <c r="D34" s="21" t="n">
        <v>6</v>
      </c>
      <c r="E34" s="10" t="n">
        <f aca="false">$D34</f>
        <v>6</v>
      </c>
      <c r="F34" s="10" t="n">
        <f aca="false">$D34</f>
        <v>6</v>
      </c>
      <c r="G34" s="7" t="s">
        <v>137</v>
      </c>
      <c r="H34" s="7" t="s">
        <v>211</v>
      </c>
    </row>
    <row r="35" customFormat="false" ht="27" hidden="false" customHeight="true" outlineLevel="0" collapsed="false">
      <c r="A35" s="20" t="s">
        <v>212</v>
      </c>
      <c r="B35" s="7" t="s">
        <v>213</v>
      </c>
      <c r="C35" s="7" t="s">
        <v>179</v>
      </c>
      <c r="D35" s="21" t="n">
        <v>30</v>
      </c>
      <c r="E35" s="10" t="n">
        <f aca="false">$D35</f>
        <v>30</v>
      </c>
      <c r="F35" s="10" t="n">
        <f aca="false">$D35</f>
        <v>30</v>
      </c>
      <c r="G35" s="7" t="s">
        <v>137</v>
      </c>
      <c r="H35" s="7" t="s">
        <v>214</v>
      </c>
    </row>
    <row r="36" customFormat="false" ht="27" hidden="false" customHeight="true" outlineLevel="0" collapsed="false">
      <c r="A36" s="20" t="s">
        <v>215</v>
      </c>
      <c r="B36" s="7" t="s">
        <v>216</v>
      </c>
      <c r="C36" s="7" t="s">
        <v>217</v>
      </c>
      <c r="D36" s="21" t="n">
        <v>0.75</v>
      </c>
      <c r="E36" s="10" t="n">
        <f aca="false">$D36</f>
        <v>0.75</v>
      </c>
      <c r="F36" s="10" t="n">
        <f aca="false">$D36</f>
        <v>0.75</v>
      </c>
      <c r="G36" s="7" t="s">
        <v>137</v>
      </c>
      <c r="H36" s="7" t="s">
        <v>218</v>
      </c>
    </row>
    <row r="37" customFormat="false" ht="27" hidden="false" customHeight="true" outlineLevel="0" collapsed="false">
      <c r="A37" s="20" t="s">
        <v>219</v>
      </c>
      <c r="B37" s="7" t="s">
        <v>220</v>
      </c>
      <c r="C37" s="7" t="s">
        <v>23</v>
      </c>
      <c r="D37" s="21" t="n">
        <v>8</v>
      </c>
      <c r="E37" s="10" t="n">
        <f aca="false">$D37</f>
        <v>8</v>
      </c>
      <c r="F37" s="10" t="n">
        <f aca="false">$D37</f>
        <v>8</v>
      </c>
      <c r="G37" s="7" t="s">
        <v>137</v>
      </c>
      <c r="H37" s="7" t="s">
        <v>221</v>
      </c>
    </row>
    <row r="38" customFormat="false" ht="27" hidden="false" customHeight="true" outlineLevel="0" collapsed="false">
      <c r="A38" s="20" t="s">
        <v>222</v>
      </c>
      <c r="B38" s="7" t="s">
        <v>223</v>
      </c>
      <c r="C38" s="7" t="s">
        <v>78</v>
      </c>
      <c r="D38" s="21" t="n">
        <v>2</v>
      </c>
      <c r="E38" s="10" t="n">
        <f aca="false">$D38</f>
        <v>2</v>
      </c>
      <c r="F38" s="10" t="n">
        <f aca="false">$D38</f>
        <v>2</v>
      </c>
      <c r="G38" s="7" t="s">
        <v>137</v>
      </c>
      <c r="H38" s="7" t="s">
        <v>224</v>
      </c>
    </row>
    <row r="39" customFormat="false" ht="27" hidden="false" customHeight="true" outlineLevel="0" collapsed="false">
      <c r="A39" s="20" t="s">
        <v>225</v>
      </c>
      <c r="B39" s="7" t="s">
        <v>226</v>
      </c>
      <c r="C39" s="7" t="s">
        <v>30</v>
      </c>
      <c r="D39" s="23" t="n">
        <f aca="false">Invoer!D109</f>
        <v>30.4218400725218</v>
      </c>
      <c r="E39" s="23" t="n">
        <f aca="false">Invoer!E109</f>
        <v>30.4218400725218</v>
      </c>
      <c r="F39" s="23" t="n">
        <f aca="false">Invoer!F109</f>
        <v>30.4218400725218</v>
      </c>
      <c r="G39" s="7" t="s">
        <v>167</v>
      </c>
      <c r="H39" s="7" t="s">
        <v>168</v>
      </c>
    </row>
    <row r="40" customFormat="false" ht="27" hidden="false" customHeight="true" outlineLevel="0" collapsed="false">
      <c r="A40" s="20" t="s">
        <v>227</v>
      </c>
      <c r="B40" s="7" t="s">
        <v>228</v>
      </c>
      <c r="C40" s="7" t="s">
        <v>229</v>
      </c>
      <c r="D40" s="21" t="n">
        <v>6500</v>
      </c>
      <c r="E40" s="10" t="n">
        <f aca="false">$D40</f>
        <v>6500</v>
      </c>
      <c r="F40" s="10" t="n">
        <f aca="false">$D40</f>
        <v>6500</v>
      </c>
      <c r="G40" s="7" t="s">
        <v>137</v>
      </c>
      <c r="H40" s="7" t="s">
        <v>230</v>
      </c>
    </row>
    <row r="41" customFormat="false" ht="27" hidden="false" customHeight="true" outlineLevel="0" collapsed="false">
      <c r="A41" s="20" t="s">
        <v>231</v>
      </c>
      <c r="B41" s="7" t="s">
        <v>232</v>
      </c>
      <c r="C41" s="7" t="s">
        <v>233</v>
      </c>
      <c r="D41" s="21" t="n">
        <v>150</v>
      </c>
      <c r="E41" s="10" t="n">
        <f aca="false">$D41</f>
        <v>150</v>
      </c>
      <c r="F41" s="10" t="n">
        <f aca="false">$D41</f>
        <v>150</v>
      </c>
      <c r="G41" s="7" t="s">
        <v>137</v>
      </c>
      <c r="H41" s="7" t="s">
        <v>234</v>
      </c>
    </row>
    <row r="42" customFormat="false" ht="27" hidden="false" customHeight="true" outlineLevel="0" collapsed="false">
      <c r="A42" s="20" t="s">
        <v>235</v>
      </c>
      <c r="B42" s="7" t="s">
        <v>236</v>
      </c>
      <c r="C42" s="7" t="s">
        <v>160</v>
      </c>
      <c r="D42" s="21" t="n">
        <v>4</v>
      </c>
      <c r="E42" s="10" t="n">
        <f aca="false">$D42</f>
        <v>4</v>
      </c>
      <c r="F42" s="10" t="n">
        <f aca="false">$D42</f>
        <v>4</v>
      </c>
      <c r="G42" s="7" t="s">
        <v>137</v>
      </c>
      <c r="H42" s="7" t="s">
        <v>237</v>
      </c>
    </row>
    <row r="43" customFormat="false" ht="27" hidden="false" customHeight="true" outlineLevel="0" collapsed="false">
      <c r="A43" s="20" t="s">
        <v>238</v>
      </c>
      <c r="B43" s="7" t="s">
        <v>239</v>
      </c>
      <c r="C43" s="7" t="s">
        <v>179</v>
      </c>
      <c r="D43" s="21" t="n">
        <v>10</v>
      </c>
      <c r="E43" s="10" t="n">
        <f aca="false">$D43</f>
        <v>10</v>
      </c>
      <c r="F43" s="10" t="n">
        <f aca="false">$D43</f>
        <v>10</v>
      </c>
      <c r="G43" s="7" t="s">
        <v>137</v>
      </c>
      <c r="H43" s="7" t="s">
        <v>240</v>
      </c>
    </row>
    <row r="44" customFormat="false" ht="27" hidden="false" customHeight="true" outlineLevel="0" collapsed="false">
      <c r="A44" s="20" t="s">
        <v>241</v>
      </c>
      <c r="B44" s="7" t="s">
        <v>242</v>
      </c>
      <c r="C44" s="7" t="s">
        <v>78</v>
      </c>
      <c r="D44" s="21" t="n">
        <v>1.3</v>
      </c>
      <c r="E44" s="10" t="n">
        <f aca="false">$D44</f>
        <v>1.3</v>
      </c>
      <c r="F44" s="10" t="n">
        <f aca="false">$D44</f>
        <v>1.3</v>
      </c>
      <c r="G44" s="7" t="s">
        <v>137</v>
      </c>
      <c r="H44" s="7" t="s">
        <v>243</v>
      </c>
    </row>
    <row r="45" customFormat="false" ht="27" hidden="false" customHeight="true" outlineLevel="0" collapsed="false">
      <c r="A45" s="20" t="s">
        <v>244</v>
      </c>
      <c r="B45" s="7" t="s">
        <v>245</v>
      </c>
      <c r="C45" s="7" t="s">
        <v>246</v>
      </c>
      <c r="D45" s="21" t="n">
        <v>30</v>
      </c>
      <c r="E45" s="10" t="n">
        <f aca="false">$D45</f>
        <v>30</v>
      </c>
      <c r="F45" s="10" t="n">
        <f aca="false">$D45</f>
        <v>30</v>
      </c>
      <c r="G45" s="7" t="s">
        <v>137</v>
      </c>
      <c r="H45" s="7" t="s">
        <v>247</v>
      </c>
    </row>
    <row r="46" customFormat="false" ht="27" hidden="false" customHeight="true" outlineLevel="0" collapsed="false">
      <c r="A46" s="20" t="s">
        <v>248</v>
      </c>
      <c r="B46" s="7" t="s">
        <v>249</v>
      </c>
      <c r="C46" s="7" t="s">
        <v>30</v>
      </c>
      <c r="D46" s="23" t="n">
        <f aca="false">Invoer!D112</f>
        <v>30.2103675000326</v>
      </c>
      <c r="E46" s="23" t="n">
        <f aca="false">Invoer!E112</f>
        <v>30.2103675000326</v>
      </c>
      <c r="F46" s="23" t="n">
        <f aca="false">Invoer!F112</f>
        <v>30.2103675000326</v>
      </c>
      <c r="G46" s="7" t="s">
        <v>167</v>
      </c>
      <c r="H46" s="7" t="s">
        <v>168</v>
      </c>
    </row>
    <row r="47" customFormat="false" ht="27" hidden="false" customHeight="true" outlineLevel="0" collapsed="false">
      <c r="A47" s="20" t="s">
        <v>250</v>
      </c>
      <c r="B47" s="7" t="s">
        <v>251</v>
      </c>
      <c r="C47" s="7" t="s">
        <v>47</v>
      </c>
      <c r="D47" s="21" t="n">
        <v>174000</v>
      </c>
      <c r="E47" s="10" t="n">
        <f aca="false">$D47</f>
        <v>174000</v>
      </c>
      <c r="F47" s="10" t="n">
        <f aca="false">$D47</f>
        <v>174000</v>
      </c>
      <c r="G47" s="7" t="s">
        <v>252</v>
      </c>
      <c r="H47" s="7" t="s">
        <v>253</v>
      </c>
    </row>
    <row r="48" customFormat="false" ht="27" hidden="false" customHeight="true" outlineLevel="0" collapsed="false">
      <c r="A48" s="20" t="s">
        <v>254</v>
      </c>
      <c r="B48" s="7" t="s">
        <v>255</v>
      </c>
      <c r="C48" s="7" t="s">
        <v>19</v>
      </c>
      <c r="D48" s="22" t="n">
        <v>0.9</v>
      </c>
      <c r="E48" s="9" t="n">
        <f aca="false">$D48</f>
        <v>0.9</v>
      </c>
      <c r="F48" s="9" t="n">
        <f aca="false">$D48</f>
        <v>0.9</v>
      </c>
      <c r="G48" s="7" t="s">
        <v>137</v>
      </c>
      <c r="H48" s="7" t="s">
        <v>256</v>
      </c>
    </row>
    <row r="49" customFormat="false" ht="27" hidden="false" customHeight="true" outlineLevel="0" collapsed="false">
      <c r="A49" s="20" t="s">
        <v>257</v>
      </c>
      <c r="B49" s="7" t="s">
        <v>258</v>
      </c>
      <c r="C49" s="7" t="s">
        <v>259</v>
      </c>
      <c r="D49" s="21" t="n">
        <v>10000</v>
      </c>
      <c r="E49" s="10" t="n">
        <f aca="false">$D49</f>
        <v>10000</v>
      </c>
      <c r="F49" s="10" t="n">
        <f aca="false">$D49</f>
        <v>10000</v>
      </c>
      <c r="G49" s="7" t="s">
        <v>137</v>
      </c>
      <c r="H49" s="7" t="s">
        <v>260</v>
      </c>
    </row>
    <row r="50" customFormat="false" ht="27" hidden="false" customHeight="true" outlineLevel="0" collapsed="false">
      <c r="A50" s="20" t="s">
        <v>261</v>
      </c>
      <c r="B50" s="7" t="s">
        <v>262</v>
      </c>
      <c r="C50" s="7" t="s">
        <v>160</v>
      </c>
      <c r="D50" s="21" t="n">
        <v>8</v>
      </c>
      <c r="E50" s="10" t="n">
        <f aca="false">$D50</f>
        <v>8</v>
      </c>
      <c r="F50" s="10" t="n">
        <f aca="false">$D50</f>
        <v>8</v>
      </c>
      <c r="G50" s="7" t="s">
        <v>137</v>
      </c>
      <c r="H50" s="7" t="s">
        <v>263</v>
      </c>
    </row>
    <row r="51" customFormat="false" ht="27" hidden="false" customHeight="true" outlineLevel="0" collapsed="false">
      <c r="A51" s="20" t="s">
        <v>264</v>
      </c>
      <c r="B51" s="7" t="s">
        <v>265</v>
      </c>
      <c r="C51" s="7" t="s">
        <v>12</v>
      </c>
      <c r="D51" s="21" t="n">
        <f aca="false">$D$3</f>
        <v>3</v>
      </c>
      <c r="E51" s="10" t="n">
        <f aca="false">$D$3</f>
        <v>3</v>
      </c>
      <c r="F51" s="10" t="n">
        <f aca="false">$D$3</f>
        <v>3</v>
      </c>
      <c r="G51" s="7" t="s">
        <v>266</v>
      </c>
      <c r="H51" s="7" t="s">
        <v>267</v>
      </c>
    </row>
    <row r="52" customFormat="false" ht="27" hidden="false" customHeight="true" outlineLevel="0" collapsed="false">
      <c r="A52" s="20" t="s">
        <v>268</v>
      </c>
      <c r="B52" s="7" t="s">
        <v>269</v>
      </c>
      <c r="C52" s="7" t="s">
        <v>47</v>
      </c>
      <c r="D52" s="21" t="n">
        <v>180000</v>
      </c>
      <c r="E52" s="10" t="n">
        <f aca="false">$D52</f>
        <v>180000</v>
      </c>
      <c r="F52" s="10" t="n">
        <f aca="false">$D52</f>
        <v>180000</v>
      </c>
      <c r="G52" s="7" t="s">
        <v>152</v>
      </c>
      <c r="H52" s="7" t="s">
        <v>270</v>
      </c>
    </row>
    <row r="53" customFormat="false" ht="27" hidden="false" customHeight="true" outlineLevel="0" collapsed="false">
      <c r="A53" s="20" t="s">
        <v>271</v>
      </c>
      <c r="B53" s="7" t="s">
        <v>272</v>
      </c>
      <c r="C53" s="7" t="s">
        <v>19</v>
      </c>
      <c r="D53" s="22" t="n">
        <v>0.1</v>
      </c>
      <c r="E53" s="9" t="n">
        <f aca="false">$D53</f>
        <v>0.1</v>
      </c>
      <c r="F53" s="9" t="n">
        <f aca="false">$D53</f>
        <v>0.1</v>
      </c>
      <c r="G53" s="7" t="s">
        <v>137</v>
      </c>
      <c r="H53" s="7" t="s">
        <v>273</v>
      </c>
    </row>
    <row r="54" customFormat="false" ht="27" hidden="false" customHeight="true" outlineLevel="0" collapsed="false">
      <c r="A54" s="20" t="s">
        <v>274</v>
      </c>
      <c r="B54" s="7" t="s">
        <v>275</v>
      </c>
      <c r="C54" s="7" t="s">
        <v>19</v>
      </c>
      <c r="D54" s="22" t="n">
        <v>0.9</v>
      </c>
      <c r="E54" s="9" t="n">
        <f aca="false">$D54</f>
        <v>0.9</v>
      </c>
      <c r="F54" s="9" t="n">
        <f aca="false">$D54</f>
        <v>0.9</v>
      </c>
      <c r="G54" s="7" t="s">
        <v>137</v>
      </c>
      <c r="H54" s="7" t="s">
        <v>276</v>
      </c>
    </row>
    <row r="55" customFormat="false" ht="27" hidden="false" customHeight="true" outlineLevel="0" collapsed="false">
      <c r="A55" s="20" t="s">
        <v>277</v>
      </c>
      <c r="B55" s="7" t="s">
        <v>278</v>
      </c>
      <c r="C55" s="7" t="s">
        <v>179</v>
      </c>
      <c r="D55" s="21" t="n">
        <v>7</v>
      </c>
      <c r="E55" s="10" t="n">
        <f aca="false">$D55</f>
        <v>7</v>
      </c>
      <c r="F55" s="10" t="n">
        <f aca="false">$D55</f>
        <v>7</v>
      </c>
      <c r="G55" s="7" t="s">
        <v>137</v>
      </c>
      <c r="H55" s="7" t="s">
        <v>279</v>
      </c>
    </row>
    <row r="56" customFormat="false" ht="27" hidden="false" customHeight="true" outlineLevel="0" collapsed="false">
      <c r="A56" s="20" t="s">
        <v>280</v>
      </c>
      <c r="B56" s="7" t="s">
        <v>281</v>
      </c>
      <c r="C56" s="7" t="s">
        <v>282</v>
      </c>
      <c r="D56" s="21" t="n">
        <v>600</v>
      </c>
      <c r="E56" s="10" t="n">
        <f aca="false">$D56</f>
        <v>600</v>
      </c>
      <c r="F56" s="10" t="n">
        <f aca="false">$D56</f>
        <v>600</v>
      </c>
      <c r="G56" s="7" t="s">
        <v>283</v>
      </c>
      <c r="H56" s="7" t="s">
        <v>284</v>
      </c>
    </row>
    <row r="57" customFormat="false" ht="27" hidden="false" customHeight="true" outlineLevel="0" collapsed="false">
      <c r="A57" s="20" t="s">
        <v>285</v>
      </c>
      <c r="B57" s="7" t="s">
        <v>286</v>
      </c>
      <c r="C57" s="7" t="s">
        <v>287</v>
      </c>
      <c r="D57" s="21" t="n">
        <v>7</v>
      </c>
      <c r="E57" s="10" t="n">
        <f aca="false">$D57</f>
        <v>7</v>
      </c>
      <c r="F57" s="10" t="n">
        <f aca="false">$D57</f>
        <v>7</v>
      </c>
      <c r="G57" s="7" t="s">
        <v>283</v>
      </c>
      <c r="H57" s="7" t="s">
        <v>288</v>
      </c>
    </row>
    <row r="58" customFormat="false" ht="27" hidden="false" customHeight="true" outlineLevel="0" collapsed="false">
      <c r="A58" s="20" t="s">
        <v>289</v>
      </c>
      <c r="B58" s="7" t="s">
        <v>290</v>
      </c>
      <c r="C58" s="7" t="s">
        <v>19</v>
      </c>
      <c r="D58" s="22" t="n">
        <v>0.5</v>
      </c>
      <c r="E58" s="9" t="n">
        <f aca="false">$D58</f>
        <v>0.5</v>
      </c>
      <c r="F58" s="9" t="n">
        <f aca="false">$D58</f>
        <v>0.5</v>
      </c>
      <c r="G58" s="7" t="s">
        <v>291</v>
      </c>
      <c r="H58" s="7" t="s">
        <v>292</v>
      </c>
    </row>
    <row r="59" customFormat="false" ht="27" hidden="false" customHeight="true" outlineLevel="0" collapsed="false">
      <c r="A59" s="20" t="s">
        <v>293</v>
      </c>
      <c r="B59" s="7" t="s">
        <v>294</v>
      </c>
      <c r="C59" s="7" t="s">
        <v>19</v>
      </c>
      <c r="D59" s="22" t="n">
        <v>0.6</v>
      </c>
      <c r="E59" s="9" t="n">
        <f aca="false">$D59</f>
        <v>0.6</v>
      </c>
      <c r="F59" s="9" t="n">
        <f aca="false">$D59</f>
        <v>0.6</v>
      </c>
      <c r="G59" s="7" t="s">
        <v>291</v>
      </c>
      <c r="H59" s="7" t="s">
        <v>295</v>
      </c>
    </row>
    <row r="60" customFormat="false" ht="27" hidden="false" customHeight="true" outlineLevel="0" collapsed="false">
      <c r="A60" s="20" t="s">
        <v>296</v>
      </c>
      <c r="B60" s="7" t="s">
        <v>297</v>
      </c>
      <c r="C60" s="7" t="s">
        <v>19</v>
      </c>
      <c r="D60" s="22" t="n">
        <v>0.85</v>
      </c>
      <c r="E60" s="9" t="n">
        <f aca="false">$D60</f>
        <v>0.85</v>
      </c>
      <c r="F60" s="9" t="n">
        <f aca="false">$D60</f>
        <v>0.85</v>
      </c>
      <c r="G60" s="7" t="s">
        <v>291</v>
      </c>
      <c r="H60" s="7" t="s">
        <v>298</v>
      </c>
    </row>
    <row r="61" customFormat="false" ht="27" hidden="false" customHeight="true" outlineLevel="0" collapsed="false">
      <c r="A61" s="20" t="s">
        <v>299</v>
      </c>
      <c r="B61" s="7" t="s">
        <v>300</v>
      </c>
      <c r="C61" s="7" t="s">
        <v>23</v>
      </c>
      <c r="D61" s="21" t="n">
        <v>334</v>
      </c>
      <c r="E61" s="10" t="n">
        <f aca="false">$D61</f>
        <v>334</v>
      </c>
      <c r="F61" s="10" t="n">
        <f aca="false">$D61</f>
        <v>334</v>
      </c>
      <c r="G61" s="7" t="s">
        <v>252</v>
      </c>
      <c r="H61" s="7" t="s">
        <v>301</v>
      </c>
    </row>
    <row r="62" customFormat="false" ht="27" hidden="false" customHeight="true" outlineLevel="0" collapsed="false">
      <c r="A62" s="20" t="s">
        <v>302</v>
      </c>
      <c r="B62" s="7" t="s">
        <v>303</v>
      </c>
      <c r="C62" s="7" t="s">
        <v>23</v>
      </c>
      <c r="D62" s="21" t="n">
        <v>48.2</v>
      </c>
      <c r="E62" s="10" t="n">
        <f aca="false">$D62</f>
        <v>48.2</v>
      </c>
      <c r="F62" s="10" t="n">
        <f aca="false">$D62</f>
        <v>48.2</v>
      </c>
      <c r="G62" s="7" t="s">
        <v>252</v>
      </c>
      <c r="H62" s="7" t="s">
        <v>304</v>
      </c>
    </row>
    <row r="63" customFormat="false" ht="27" hidden="false" customHeight="true" outlineLevel="0" collapsed="false">
      <c r="A63" s="20" t="s">
        <v>305</v>
      </c>
      <c r="B63" s="7" t="s">
        <v>306</v>
      </c>
      <c r="C63" s="7" t="s">
        <v>23</v>
      </c>
      <c r="D63" s="21" t="n">
        <v>14.5</v>
      </c>
      <c r="E63" s="10" t="n">
        <f aca="false">$D63</f>
        <v>14.5</v>
      </c>
      <c r="F63" s="10" t="n">
        <f aca="false">$D63</f>
        <v>14.5</v>
      </c>
      <c r="G63" s="7" t="s">
        <v>252</v>
      </c>
      <c r="H63" s="7" t="s">
        <v>307</v>
      </c>
    </row>
    <row r="64" customFormat="false" ht="27" hidden="false" customHeight="true" outlineLevel="0" collapsed="false">
      <c r="A64" s="20" t="s">
        <v>308</v>
      </c>
      <c r="B64" s="7" t="s">
        <v>309</v>
      </c>
      <c r="C64" s="7" t="s">
        <v>23</v>
      </c>
      <c r="D64" s="21" t="n">
        <v>0.6</v>
      </c>
      <c r="E64" s="10" t="n">
        <f aca="false">$D64</f>
        <v>0.6</v>
      </c>
      <c r="F64" s="10" t="n">
        <f aca="false">$D64</f>
        <v>0.6</v>
      </c>
      <c r="G64" s="7" t="s">
        <v>137</v>
      </c>
      <c r="H64" s="7" t="s">
        <v>310</v>
      </c>
    </row>
    <row r="65" customFormat="false" ht="27" hidden="false" customHeight="true" outlineLevel="0" collapsed="false">
      <c r="A65" s="20" t="s">
        <v>311</v>
      </c>
      <c r="B65" s="7" t="s">
        <v>312</v>
      </c>
      <c r="C65" s="7" t="s">
        <v>23</v>
      </c>
      <c r="D65" s="21" t="n">
        <v>0.5</v>
      </c>
      <c r="E65" s="10" t="n">
        <f aca="false">$D65</f>
        <v>0.5</v>
      </c>
      <c r="F65" s="10" t="n">
        <f aca="false">$D65</f>
        <v>0.5</v>
      </c>
      <c r="G65" s="7" t="s">
        <v>137</v>
      </c>
      <c r="H65" s="7" t="s">
        <v>313</v>
      </c>
    </row>
    <row r="66" customFormat="false" ht="27" hidden="false" customHeight="true" outlineLevel="0" collapsed="false">
      <c r="A66" s="20" t="s">
        <v>314</v>
      </c>
      <c r="B66" s="7" t="s">
        <v>315</v>
      </c>
      <c r="C66" s="7" t="s">
        <v>23</v>
      </c>
      <c r="D66" s="21" t="n">
        <v>0.2</v>
      </c>
      <c r="E66" s="10" t="n">
        <f aca="false">$D66</f>
        <v>0.2</v>
      </c>
      <c r="F66" s="10" t="n">
        <f aca="false">$D66</f>
        <v>0.2</v>
      </c>
      <c r="G66" s="7" t="s">
        <v>137</v>
      </c>
      <c r="H66" s="7" t="s">
        <v>316</v>
      </c>
    </row>
    <row r="67" customFormat="false" ht="27" hidden="false" customHeight="true" outlineLevel="0" collapsed="false">
      <c r="A67" s="20" t="s">
        <v>317</v>
      </c>
      <c r="B67" s="7" t="s">
        <v>318</v>
      </c>
      <c r="C67" s="7" t="s">
        <v>23</v>
      </c>
      <c r="D67" s="21" t="n">
        <v>0.8</v>
      </c>
      <c r="E67" s="10" t="n">
        <f aca="false">$D67</f>
        <v>0.8</v>
      </c>
      <c r="F67" s="10" t="n">
        <f aca="false">$D67</f>
        <v>0.8</v>
      </c>
      <c r="G67" s="7" t="s">
        <v>137</v>
      </c>
      <c r="H67" s="7" t="s">
        <v>319</v>
      </c>
    </row>
    <row r="68" customFormat="false" ht="27" hidden="false" customHeight="true" outlineLevel="0" collapsed="false">
      <c r="A68" s="20" t="s">
        <v>320</v>
      </c>
      <c r="B68" s="7" t="s">
        <v>321</v>
      </c>
      <c r="C68" s="7" t="s">
        <v>23</v>
      </c>
      <c r="D68" s="21" t="n">
        <v>0.6</v>
      </c>
      <c r="E68" s="10" t="n">
        <f aca="false">$D68</f>
        <v>0.6</v>
      </c>
      <c r="F68" s="10" t="n">
        <f aca="false">$D68</f>
        <v>0.6</v>
      </c>
      <c r="G68" s="7" t="s">
        <v>137</v>
      </c>
      <c r="H68" s="7" t="s">
        <v>322</v>
      </c>
    </row>
    <row r="69" customFormat="false" ht="27" hidden="false" customHeight="true" outlineLevel="0" collapsed="false">
      <c r="A69" s="20" t="s">
        <v>323</v>
      </c>
      <c r="B69" s="7" t="s">
        <v>324</v>
      </c>
      <c r="C69" s="7" t="s">
        <v>23</v>
      </c>
      <c r="D69" s="21" t="n">
        <v>0.5</v>
      </c>
      <c r="E69" s="10" t="n">
        <f aca="false">$D69</f>
        <v>0.5</v>
      </c>
      <c r="F69" s="10" t="n">
        <f aca="false">$D69</f>
        <v>0.5</v>
      </c>
      <c r="G69" s="7" t="s">
        <v>137</v>
      </c>
      <c r="H69" s="7" t="s">
        <v>325</v>
      </c>
    </row>
    <row r="70" customFormat="false" ht="27" hidden="false" customHeight="true" outlineLevel="0" collapsed="false">
      <c r="A70" s="20" t="s">
        <v>326</v>
      </c>
      <c r="B70" s="7" t="s">
        <v>327</v>
      </c>
      <c r="C70" s="7" t="s">
        <v>23</v>
      </c>
      <c r="D70" s="21" t="n">
        <v>0.5</v>
      </c>
      <c r="E70" s="10" t="n">
        <f aca="false">$D70</f>
        <v>0.5</v>
      </c>
      <c r="F70" s="10" t="n">
        <f aca="false">$D70</f>
        <v>0.5</v>
      </c>
      <c r="G70" s="7" t="s">
        <v>152</v>
      </c>
      <c r="H70" s="7" t="s">
        <v>328</v>
      </c>
    </row>
    <row r="71" customFormat="false" ht="27" hidden="false" customHeight="true" outlineLevel="0" collapsed="false">
      <c r="A71" s="20" t="s">
        <v>329</v>
      </c>
      <c r="B71" s="7" t="s">
        <v>330</v>
      </c>
      <c r="C71" s="7" t="s">
        <v>78</v>
      </c>
      <c r="D71" s="21" t="n">
        <v>2.1</v>
      </c>
      <c r="E71" s="10" t="n">
        <f aca="false">$D71</f>
        <v>2.1</v>
      </c>
      <c r="F71" s="10" t="n">
        <f aca="false">$D71</f>
        <v>2.1</v>
      </c>
      <c r="G71" s="7" t="s">
        <v>141</v>
      </c>
      <c r="H71" s="7" t="s">
        <v>331</v>
      </c>
    </row>
    <row r="72" customFormat="false" ht="27" hidden="false" customHeight="true" outlineLevel="0" collapsed="false">
      <c r="A72" s="20" t="s">
        <v>332</v>
      </c>
      <c r="B72" s="7" t="s">
        <v>333</v>
      </c>
      <c r="C72" s="7" t="s">
        <v>23</v>
      </c>
      <c r="D72" s="23" t="n">
        <f aca="false">Invoer!D99</f>
        <v>720</v>
      </c>
      <c r="E72" s="23" t="n">
        <f aca="false">Invoer!E99</f>
        <v>720</v>
      </c>
      <c r="F72" s="23" t="n">
        <f aca="false">Invoer!F99</f>
        <v>720</v>
      </c>
      <c r="G72" s="7" t="s">
        <v>167</v>
      </c>
      <c r="H72" s="7" t="s">
        <v>168</v>
      </c>
    </row>
    <row r="73" customFormat="false" ht="27" hidden="false" customHeight="true" outlineLevel="0" collapsed="false">
      <c r="A73" s="20" t="s">
        <v>334</v>
      </c>
      <c r="B73" s="7" t="s">
        <v>335</v>
      </c>
      <c r="C73" s="7" t="s">
        <v>23</v>
      </c>
      <c r="D73" s="21" t="n">
        <v>350</v>
      </c>
      <c r="E73" s="10" t="n">
        <f aca="false">$D73</f>
        <v>350</v>
      </c>
      <c r="F73" s="10" t="n">
        <f aca="false">$D73</f>
        <v>350</v>
      </c>
      <c r="G73" s="7" t="s">
        <v>152</v>
      </c>
      <c r="H73" s="7" t="s">
        <v>336</v>
      </c>
    </row>
    <row r="74" customFormat="false" ht="27" hidden="false" customHeight="true" outlineLevel="0" collapsed="false">
      <c r="A74" s="20" t="s">
        <v>337</v>
      </c>
      <c r="B74" s="7" t="s">
        <v>338</v>
      </c>
      <c r="C74" s="7" t="s">
        <v>339</v>
      </c>
      <c r="D74" s="21" t="n">
        <v>6</v>
      </c>
      <c r="E74" s="10" t="n">
        <f aca="false">$D74</f>
        <v>6</v>
      </c>
      <c r="F74" s="10" t="n">
        <f aca="false">$D74</f>
        <v>6</v>
      </c>
      <c r="G74" s="7" t="s">
        <v>137</v>
      </c>
      <c r="H74" s="7" t="s">
        <v>340</v>
      </c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</row>
    <row r="78" customFormat="false" ht="15" hidden="false" customHeight="false" outlineLevel="0" collapsed="false">
      <c r="A78" s="24" t="s">
        <v>341</v>
      </c>
      <c r="B78" s="24"/>
      <c r="C78" s="24"/>
      <c r="D78" s="24"/>
      <c r="E78" s="24"/>
      <c r="F78" s="24"/>
      <c r="G78" s="24"/>
      <c r="H78" s="24"/>
    </row>
    <row r="79" customFormat="false" ht="30" hidden="false" customHeight="true" outlineLevel="0" collapsed="false">
      <c r="A79" s="25" t="s">
        <v>3</v>
      </c>
      <c r="B79" s="25" t="s">
        <v>342</v>
      </c>
      <c r="C79" s="25" t="s">
        <v>343</v>
      </c>
      <c r="D79" s="25"/>
      <c r="E79" s="25"/>
      <c r="F79" s="25"/>
      <c r="G79" s="25"/>
      <c r="H79" s="25" t="s">
        <v>344</v>
      </c>
    </row>
    <row r="80" customFormat="false" ht="69.75" hidden="false" customHeight="true" outlineLevel="0" collapsed="false">
      <c r="A80" s="1" t="s">
        <v>345</v>
      </c>
      <c r="B80" s="26" t="s">
        <v>346</v>
      </c>
      <c r="C80" s="26" t="s">
        <v>347</v>
      </c>
      <c r="D80" s="1"/>
      <c r="E80" s="1"/>
      <c r="F80" s="1"/>
      <c r="G80" s="1"/>
      <c r="H80" s="26" t="s">
        <v>348</v>
      </c>
    </row>
    <row r="81" customFormat="false" ht="69.75" hidden="false" customHeight="true" outlineLevel="0" collapsed="false">
      <c r="A81" s="1" t="s">
        <v>349</v>
      </c>
      <c r="B81" s="26" t="s">
        <v>350</v>
      </c>
      <c r="C81" s="26" t="s">
        <v>351</v>
      </c>
      <c r="D81" s="1"/>
      <c r="E81" s="1"/>
      <c r="F81" s="1"/>
      <c r="G81" s="1"/>
      <c r="H81" s="26" t="s">
        <v>352</v>
      </c>
    </row>
    <row r="82" customFormat="false" ht="69.75" hidden="false" customHeight="true" outlineLevel="0" collapsed="false">
      <c r="A82" s="1" t="s">
        <v>353</v>
      </c>
      <c r="B82" s="26" t="s">
        <v>354</v>
      </c>
      <c r="C82" s="26" t="s">
        <v>355</v>
      </c>
      <c r="D82" s="1"/>
      <c r="E82" s="1"/>
      <c r="F82" s="1"/>
      <c r="G82" s="1"/>
      <c r="H82" s="26" t="s">
        <v>356</v>
      </c>
    </row>
    <row r="83" customFormat="false" ht="69.75" hidden="false" customHeight="true" outlineLevel="0" collapsed="false">
      <c r="A83" s="1" t="s">
        <v>357</v>
      </c>
      <c r="B83" s="26" t="s">
        <v>358</v>
      </c>
      <c r="C83" s="26" t="s">
        <v>347</v>
      </c>
      <c r="D83" s="1"/>
      <c r="E83" s="1"/>
      <c r="F83" s="1"/>
      <c r="G83" s="1"/>
      <c r="H83" s="26" t="s">
        <v>359</v>
      </c>
    </row>
    <row r="84" customFormat="false" ht="69.75" hidden="false" customHeight="true" outlineLevel="0" collapsed="false">
      <c r="A84" s="1" t="s">
        <v>360</v>
      </c>
      <c r="B84" s="26" t="s">
        <v>361</v>
      </c>
      <c r="C84" s="26" t="s">
        <v>362</v>
      </c>
      <c r="D84" s="1"/>
      <c r="E84" s="1"/>
      <c r="F84" s="1"/>
      <c r="G84" s="1"/>
      <c r="H84" s="26" t="s">
        <v>363</v>
      </c>
    </row>
    <row r="85" customFormat="false" ht="69.75" hidden="false" customHeight="true" outlineLevel="0" collapsed="false">
      <c r="A85" s="1" t="s">
        <v>364</v>
      </c>
      <c r="B85" s="26" t="s">
        <v>365</v>
      </c>
      <c r="C85" s="26" t="s">
        <v>366</v>
      </c>
      <c r="D85" s="1"/>
      <c r="E85" s="1"/>
      <c r="F85" s="1"/>
      <c r="G85" s="1"/>
      <c r="H85" s="26" t="s">
        <v>367</v>
      </c>
    </row>
    <row r="86" customFormat="false" ht="69.75" hidden="false" customHeight="true" outlineLevel="0" collapsed="false">
      <c r="A86" s="1" t="s">
        <v>368</v>
      </c>
      <c r="B86" s="26" t="s">
        <v>369</v>
      </c>
      <c r="C86" s="26" t="s">
        <v>370</v>
      </c>
      <c r="D86" s="1"/>
      <c r="E86" s="1"/>
      <c r="F86" s="1"/>
      <c r="G86" s="1"/>
      <c r="H86" s="26" t="s">
        <v>371</v>
      </c>
    </row>
    <row r="87" customFormat="false" ht="69.75" hidden="false" customHeight="true" outlineLevel="0" collapsed="false">
      <c r="A87" s="1" t="s">
        <v>372</v>
      </c>
      <c r="B87" s="26" t="s">
        <v>373</v>
      </c>
      <c r="C87" s="26" t="s">
        <v>374</v>
      </c>
      <c r="D87" s="1"/>
      <c r="E87" s="1"/>
      <c r="F87" s="1"/>
      <c r="G87" s="1"/>
      <c r="H87" s="26" t="s">
        <v>375</v>
      </c>
    </row>
    <row r="88" customFormat="false" ht="45.75" hidden="false" customHeight="true" outlineLevel="0" collapsed="false">
      <c r="A88" s="1" t="s">
        <v>376</v>
      </c>
      <c r="B88" s="26" t="s">
        <v>377</v>
      </c>
      <c r="C88" s="26" t="s">
        <v>378</v>
      </c>
      <c r="D88" s="1"/>
      <c r="E88" s="1"/>
      <c r="F88" s="1"/>
      <c r="G88" s="1"/>
      <c r="H88" s="26" t="s">
        <v>379</v>
      </c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</row>
    <row r="90" customFormat="false" ht="24.75" hidden="false" customHeight="true" outlineLevel="0" collapsed="false">
      <c r="A90" s="12" t="s">
        <v>380</v>
      </c>
      <c r="B90" s="13"/>
      <c r="C90" s="13"/>
      <c r="D90" s="14"/>
      <c r="E90" s="14"/>
      <c r="F90" s="14"/>
      <c r="G90" s="13"/>
      <c r="H90" s="13"/>
    </row>
    <row r="91" customFormat="false" ht="43.5" hidden="false" customHeight="true" outlineLevel="0" collapsed="false">
      <c r="A91" s="6"/>
      <c r="B91" s="7" t="s">
        <v>381</v>
      </c>
      <c r="C91" s="7"/>
      <c r="D91" s="10"/>
      <c r="E91" s="10"/>
      <c r="F91" s="10"/>
      <c r="G91" s="7"/>
      <c r="H91" s="7" t="s">
        <v>382</v>
      </c>
    </row>
    <row r="92" customFormat="false" ht="31.5" hidden="false" customHeight="true" outlineLevel="0" collapsed="false">
      <c r="A92" s="5" t="s">
        <v>3</v>
      </c>
      <c r="B92" s="5" t="s">
        <v>113</v>
      </c>
      <c r="C92" s="5" t="s">
        <v>5</v>
      </c>
      <c r="D92" s="16" t="s">
        <v>6</v>
      </c>
      <c r="E92" s="16" t="s">
        <v>7</v>
      </c>
      <c r="F92" s="16" t="s">
        <v>8</v>
      </c>
      <c r="G92" s="5" t="s">
        <v>114</v>
      </c>
      <c r="H92" s="5" t="s">
        <v>115</v>
      </c>
    </row>
    <row r="93" customFormat="false" ht="36" hidden="false" customHeight="true" outlineLevel="0" collapsed="false">
      <c r="A93" s="20" t="s">
        <v>383</v>
      </c>
      <c r="B93" s="7" t="s">
        <v>384</v>
      </c>
      <c r="C93" s="7" t="s">
        <v>23</v>
      </c>
      <c r="D93" s="27" t="n">
        <v>220</v>
      </c>
      <c r="E93" s="10" t="n">
        <f aca="false">$D93</f>
        <v>220</v>
      </c>
      <c r="F93" s="10" t="n">
        <f aca="false">$D93</f>
        <v>220</v>
      </c>
      <c r="G93" s="7" t="s">
        <v>167</v>
      </c>
      <c r="H93" s="7" t="s">
        <v>385</v>
      </c>
    </row>
    <row r="94" customFormat="false" ht="36" hidden="false" customHeight="true" outlineLevel="0" collapsed="false">
      <c r="A94" s="20" t="s">
        <v>386</v>
      </c>
      <c r="B94" s="7" t="s">
        <v>387</v>
      </c>
      <c r="C94" s="7" t="s">
        <v>23</v>
      </c>
      <c r="D94" s="27" t="n">
        <v>260</v>
      </c>
      <c r="E94" s="10" t="n">
        <f aca="false">$D94</f>
        <v>260</v>
      </c>
      <c r="F94" s="10" t="n">
        <f aca="false">$D94</f>
        <v>260</v>
      </c>
      <c r="G94" s="7" t="s">
        <v>167</v>
      </c>
      <c r="H94" s="7" t="s">
        <v>388</v>
      </c>
    </row>
    <row r="95" customFormat="false" ht="36" hidden="false" customHeight="true" outlineLevel="0" collapsed="false">
      <c r="A95" s="20" t="s">
        <v>389</v>
      </c>
      <c r="B95" s="7" t="s">
        <v>68</v>
      </c>
      <c r="C95" s="7" t="s">
        <v>23</v>
      </c>
      <c r="D95" s="27" t="n">
        <v>3400</v>
      </c>
      <c r="E95" s="10" t="n">
        <f aca="false">$D95</f>
        <v>3400</v>
      </c>
      <c r="F95" s="10" t="n">
        <f aca="false">$D95</f>
        <v>3400</v>
      </c>
      <c r="G95" s="7" t="s">
        <v>167</v>
      </c>
      <c r="H95" s="7" t="s">
        <v>390</v>
      </c>
    </row>
    <row r="96" customFormat="false" ht="36" hidden="false" customHeight="true" outlineLevel="0" collapsed="false">
      <c r="A96" s="20" t="s">
        <v>391</v>
      </c>
      <c r="B96" s="7" t="s">
        <v>392</v>
      </c>
      <c r="C96" s="7" t="s">
        <v>393</v>
      </c>
      <c r="D96" s="27" t="n">
        <v>45.9308064628879</v>
      </c>
      <c r="E96" s="10" t="n">
        <f aca="false">$D96</f>
        <v>45.9308064628879</v>
      </c>
      <c r="F96" s="10" t="n">
        <f aca="false">$D96</f>
        <v>45.9308064628879</v>
      </c>
      <c r="G96" s="7" t="s">
        <v>167</v>
      </c>
      <c r="H96" s="7" t="s">
        <v>394</v>
      </c>
    </row>
    <row r="97" customFormat="false" ht="36" hidden="false" customHeight="true" outlineLevel="0" collapsed="false">
      <c r="A97" s="20" t="s">
        <v>395</v>
      </c>
      <c r="B97" s="7" t="s">
        <v>396</v>
      </c>
      <c r="C97" s="7" t="s">
        <v>23</v>
      </c>
      <c r="D97" s="27" t="n">
        <v>21945.5096812288</v>
      </c>
      <c r="E97" s="10" t="n">
        <f aca="false">$D97</f>
        <v>21945.5096812288</v>
      </c>
      <c r="F97" s="10" t="n">
        <f aca="false">$D97</f>
        <v>21945.5096812288</v>
      </c>
      <c r="G97" s="7" t="s">
        <v>167</v>
      </c>
      <c r="H97" s="7" t="s">
        <v>397</v>
      </c>
    </row>
    <row r="98" customFormat="false" ht="36" hidden="false" customHeight="true" outlineLevel="0" collapsed="false">
      <c r="A98" s="20" t="s">
        <v>398</v>
      </c>
      <c r="B98" s="7" t="s">
        <v>399</v>
      </c>
      <c r="C98" s="7" t="s">
        <v>23</v>
      </c>
      <c r="D98" s="27" t="n">
        <v>1720.05871716633</v>
      </c>
      <c r="E98" s="10" t="n">
        <f aca="false">$D98</f>
        <v>1720.05871716633</v>
      </c>
      <c r="F98" s="10" t="n">
        <f aca="false">$D98</f>
        <v>1720.05871716633</v>
      </c>
      <c r="G98" s="7" t="s">
        <v>167</v>
      </c>
      <c r="H98" s="7" t="s">
        <v>400</v>
      </c>
    </row>
    <row r="99" customFormat="false" ht="36" hidden="false" customHeight="true" outlineLevel="0" collapsed="false">
      <c r="A99" s="20" t="s">
        <v>401</v>
      </c>
      <c r="B99" s="7" t="s">
        <v>402</v>
      </c>
      <c r="C99" s="7" t="s">
        <v>23</v>
      </c>
      <c r="D99" s="27" t="n">
        <v>720</v>
      </c>
      <c r="E99" s="10" t="n">
        <f aca="false">$D99</f>
        <v>720</v>
      </c>
      <c r="F99" s="10" t="n">
        <f aca="false">$D99</f>
        <v>720</v>
      </c>
      <c r="G99" s="7" t="s">
        <v>167</v>
      </c>
      <c r="H99" s="7" t="s">
        <v>403</v>
      </c>
    </row>
    <row r="100" customFormat="false" ht="36" hidden="false" customHeight="true" outlineLevel="0" collapsed="false">
      <c r="A100" s="20" t="s">
        <v>404</v>
      </c>
      <c r="B100" s="7" t="s">
        <v>405</v>
      </c>
      <c r="C100" s="7" t="s">
        <v>23</v>
      </c>
      <c r="D100" s="27" t="n">
        <v>670</v>
      </c>
      <c r="E100" s="10" t="n">
        <f aca="false">$D100</f>
        <v>670</v>
      </c>
      <c r="F100" s="10" t="n">
        <f aca="false">$D100</f>
        <v>670</v>
      </c>
      <c r="G100" s="7" t="s">
        <v>167</v>
      </c>
      <c r="H100" s="7" t="s">
        <v>406</v>
      </c>
    </row>
    <row r="101" customFormat="false" ht="36" hidden="false" customHeight="true" outlineLevel="0" collapsed="false">
      <c r="A101" s="20" t="s">
        <v>407</v>
      </c>
      <c r="B101" s="7" t="s">
        <v>408</v>
      </c>
      <c r="C101" s="7" t="s">
        <v>60</v>
      </c>
      <c r="D101" s="27" t="n">
        <v>18.2</v>
      </c>
      <c r="E101" s="10" t="n">
        <f aca="false">$D101</f>
        <v>18.2</v>
      </c>
      <c r="F101" s="10" t="n">
        <f aca="false">$D101</f>
        <v>18.2</v>
      </c>
      <c r="G101" s="7" t="s">
        <v>409</v>
      </c>
      <c r="H101" s="7" t="s">
        <v>410</v>
      </c>
    </row>
    <row r="102" customFormat="false" ht="36" hidden="false" customHeight="true" outlineLevel="0" collapsed="false">
      <c r="A102" s="20" t="s">
        <v>411</v>
      </c>
      <c r="B102" s="7" t="s">
        <v>61</v>
      </c>
      <c r="C102" s="7" t="s">
        <v>60</v>
      </c>
      <c r="D102" s="27" t="n">
        <v>16.2</v>
      </c>
      <c r="E102" s="10" t="n">
        <f aca="false">$D102</f>
        <v>16.2</v>
      </c>
      <c r="F102" s="10" t="n">
        <f aca="false">$D102</f>
        <v>16.2</v>
      </c>
      <c r="G102" s="7" t="s">
        <v>409</v>
      </c>
      <c r="H102" s="7" t="s">
        <v>412</v>
      </c>
    </row>
    <row r="103" customFormat="false" ht="36" hidden="false" customHeight="true" outlineLevel="0" collapsed="false">
      <c r="A103" s="20" t="s">
        <v>413</v>
      </c>
      <c r="B103" s="7" t="s">
        <v>62</v>
      </c>
      <c r="C103" s="7" t="s">
        <v>60</v>
      </c>
      <c r="D103" s="27" t="n">
        <v>13.7</v>
      </c>
      <c r="E103" s="10" t="n">
        <f aca="false">$D103</f>
        <v>13.7</v>
      </c>
      <c r="F103" s="10" t="n">
        <f aca="false">$D103</f>
        <v>13.7</v>
      </c>
      <c r="G103" s="7" t="s">
        <v>409</v>
      </c>
      <c r="H103" s="7" t="s">
        <v>414</v>
      </c>
    </row>
    <row r="104" customFormat="false" ht="36" hidden="false" customHeight="true" outlineLevel="0" collapsed="false">
      <c r="A104" s="20" t="s">
        <v>415</v>
      </c>
      <c r="B104" s="7" t="s">
        <v>416</v>
      </c>
      <c r="C104" s="7" t="s">
        <v>23</v>
      </c>
      <c r="D104" s="27" t="n">
        <v>12.5</v>
      </c>
      <c r="E104" s="10" t="n">
        <f aca="false">$D104</f>
        <v>12.5</v>
      </c>
      <c r="F104" s="10" t="n">
        <f aca="false">$D104</f>
        <v>12.5</v>
      </c>
      <c r="G104" s="7" t="s">
        <v>252</v>
      </c>
      <c r="H104" s="7" t="s">
        <v>417</v>
      </c>
    </row>
    <row r="105" customFormat="false" ht="36" hidden="false" customHeight="true" outlineLevel="0" collapsed="false">
      <c r="A105" s="20" t="s">
        <v>418</v>
      </c>
      <c r="B105" s="7" t="s">
        <v>419</v>
      </c>
      <c r="C105" s="7" t="s">
        <v>23</v>
      </c>
      <c r="D105" s="27" t="n">
        <v>10</v>
      </c>
      <c r="E105" s="10" t="n">
        <f aca="false">$D105</f>
        <v>10</v>
      </c>
      <c r="F105" s="10" t="n">
        <f aca="false">$D105</f>
        <v>10</v>
      </c>
      <c r="G105" s="7" t="s">
        <v>252</v>
      </c>
      <c r="H105" s="7" t="s">
        <v>420</v>
      </c>
    </row>
    <row r="106" customFormat="false" ht="36" hidden="false" customHeight="true" outlineLevel="0" collapsed="false">
      <c r="A106" s="20" t="s">
        <v>421</v>
      </c>
      <c r="B106" s="7" t="s">
        <v>422</v>
      </c>
      <c r="C106" s="7" t="s">
        <v>23</v>
      </c>
      <c r="D106" s="27" t="n">
        <v>14.45</v>
      </c>
      <c r="E106" s="10" t="n">
        <f aca="false">$D106</f>
        <v>14.45</v>
      </c>
      <c r="F106" s="10" t="n">
        <f aca="false">$D106</f>
        <v>14.45</v>
      </c>
      <c r="G106" s="7" t="s">
        <v>252</v>
      </c>
      <c r="H106" s="7" t="s">
        <v>423</v>
      </c>
    </row>
    <row r="107" customFormat="false" ht="36" hidden="false" customHeight="true" outlineLevel="0" collapsed="false">
      <c r="A107" s="20" t="s">
        <v>424</v>
      </c>
      <c r="B107" s="7" t="s">
        <v>425</v>
      </c>
      <c r="C107" s="7" t="s">
        <v>23</v>
      </c>
      <c r="D107" s="27" t="n">
        <v>401.096091007006</v>
      </c>
      <c r="E107" s="10" t="n">
        <f aca="false">$D107</f>
        <v>401.096091007006</v>
      </c>
      <c r="F107" s="10" t="n">
        <f aca="false">$D107</f>
        <v>401.096091007006</v>
      </c>
      <c r="G107" s="7" t="s">
        <v>167</v>
      </c>
      <c r="H107" s="7" t="s">
        <v>426</v>
      </c>
    </row>
    <row r="108" customFormat="false" ht="36" hidden="false" customHeight="true" outlineLevel="0" collapsed="false">
      <c r="A108" s="20" t="s">
        <v>427</v>
      </c>
      <c r="B108" s="7" t="s">
        <v>428</v>
      </c>
      <c r="C108" s="7" t="s">
        <v>30</v>
      </c>
      <c r="D108" s="27" t="n">
        <v>72.0013758749795</v>
      </c>
      <c r="E108" s="27" t="n">
        <v>108.002063812585</v>
      </c>
      <c r="F108" s="27" t="n">
        <v>144.002751750007</v>
      </c>
      <c r="G108" s="7" t="s">
        <v>167</v>
      </c>
      <c r="H108" s="7" t="s">
        <v>429</v>
      </c>
    </row>
    <row r="109" customFormat="false" ht="36" hidden="false" customHeight="true" outlineLevel="0" collapsed="false">
      <c r="A109" s="20" t="s">
        <v>225</v>
      </c>
      <c r="B109" s="7" t="s">
        <v>430</v>
      </c>
      <c r="C109" s="7" t="s">
        <v>30</v>
      </c>
      <c r="D109" s="27" t="n">
        <v>30.4218400725218</v>
      </c>
      <c r="E109" s="10" t="n">
        <f aca="false">$D109</f>
        <v>30.4218400725218</v>
      </c>
      <c r="F109" s="10" t="n">
        <f aca="false">$D109</f>
        <v>30.4218400725218</v>
      </c>
      <c r="G109" s="7" t="s">
        <v>167</v>
      </c>
      <c r="H109" s="7" t="s">
        <v>431</v>
      </c>
    </row>
    <row r="110" customFormat="false" ht="36" hidden="false" customHeight="true" outlineLevel="0" collapsed="false">
      <c r="A110" s="20" t="s">
        <v>432</v>
      </c>
      <c r="B110" s="7" t="s">
        <v>433</v>
      </c>
      <c r="C110" s="7" t="s">
        <v>30</v>
      </c>
      <c r="D110" s="27" t="n">
        <v>7.55259187498004</v>
      </c>
      <c r="E110" s="10" t="n">
        <f aca="false">$D110</f>
        <v>7.55259187498004</v>
      </c>
      <c r="F110" s="10" t="n">
        <f aca="false">$D110</f>
        <v>7.55259187498004</v>
      </c>
      <c r="G110" s="7" t="s">
        <v>167</v>
      </c>
      <c r="H110" s="7" t="s">
        <v>434</v>
      </c>
    </row>
    <row r="111" customFormat="false" ht="36" hidden="false" customHeight="true" outlineLevel="0" collapsed="false">
      <c r="A111" s="20" t="s">
        <v>435</v>
      </c>
      <c r="B111" s="7" t="s">
        <v>436</v>
      </c>
      <c r="C111" s="7" t="s">
        <v>23</v>
      </c>
      <c r="D111" s="27" t="n">
        <v>301.050000000268</v>
      </c>
      <c r="E111" s="10" t="n">
        <f aca="false">$D111</f>
        <v>301.050000000268</v>
      </c>
      <c r="F111" s="10" t="n">
        <f aca="false">$D111</f>
        <v>301.050000000268</v>
      </c>
      <c r="G111" s="7" t="s">
        <v>167</v>
      </c>
      <c r="H111" s="7" t="s">
        <v>437</v>
      </c>
    </row>
    <row r="112" customFormat="false" ht="36" hidden="false" customHeight="true" outlineLevel="0" collapsed="false">
      <c r="A112" s="20" t="s">
        <v>248</v>
      </c>
      <c r="B112" s="7" t="s">
        <v>438</v>
      </c>
      <c r="C112" s="7" t="s">
        <v>30</v>
      </c>
      <c r="D112" s="27" t="n">
        <v>30.2103675000326</v>
      </c>
      <c r="E112" s="10" t="n">
        <f aca="false">$D112</f>
        <v>30.2103675000326</v>
      </c>
      <c r="F112" s="10" t="n">
        <f aca="false">$D112</f>
        <v>30.2103675000326</v>
      </c>
      <c r="G112" s="7" t="s">
        <v>167</v>
      </c>
      <c r="H112" s="7" t="s">
        <v>439</v>
      </c>
    </row>
    <row r="113" customFormat="false" ht="36" hidden="false" customHeight="true" outlineLevel="0" collapsed="false">
      <c r="A113" s="20" t="s">
        <v>440</v>
      </c>
      <c r="B113" s="7" t="s">
        <v>441</v>
      </c>
      <c r="C113" s="7" t="s">
        <v>23</v>
      </c>
      <c r="D113" s="27" t="n">
        <v>299.559877758714</v>
      </c>
      <c r="E113" s="10" t="n">
        <f aca="false">$D113</f>
        <v>299.559877758714</v>
      </c>
      <c r="F113" s="10" t="n">
        <f aca="false">$D113</f>
        <v>299.559877758714</v>
      </c>
      <c r="G113" s="7" t="s">
        <v>167</v>
      </c>
      <c r="H113" s="7" t="s">
        <v>442</v>
      </c>
    </row>
    <row r="114" customFormat="false" ht="36" hidden="false" customHeight="true" outlineLevel="0" collapsed="false">
      <c r="A114" s="20" t="s">
        <v>443</v>
      </c>
      <c r="B114" s="7" t="s">
        <v>444</v>
      </c>
      <c r="C114" s="7" t="s">
        <v>196</v>
      </c>
      <c r="D114" s="27" t="n">
        <v>121224.24776812</v>
      </c>
      <c r="E114" s="10" t="n">
        <f aca="false">$D114</f>
        <v>121224.24776812</v>
      </c>
      <c r="F114" s="10" t="n">
        <f aca="false">$D114</f>
        <v>121224.24776812</v>
      </c>
      <c r="G114" s="7" t="s">
        <v>167</v>
      </c>
      <c r="H114" s="7" t="s">
        <v>445</v>
      </c>
    </row>
    <row r="115" customFormat="false" ht="36" hidden="false" customHeight="true" outlineLevel="0" collapsed="false">
      <c r="A115" s="20" t="s">
        <v>446</v>
      </c>
      <c r="B115" s="7" t="s">
        <v>447</v>
      </c>
      <c r="C115" s="7" t="s">
        <v>30</v>
      </c>
      <c r="D115" s="27" t="n">
        <v>54.8559907833284</v>
      </c>
      <c r="E115" s="10" t="n">
        <f aca="false">$D115</f>
        <v>54.8559907833284</v>
      </c>
      <c r="F115" s="10" t="n">
        <f aca="false">$D115</f>
        <v>54.8559907833284</v>
      </c>
      <c r="G115" s="7" t="s">
        <v>167</v>
      </c>
      <c r="H115" s="7" t="s">
        <v>448</v>
      </c>
    </row>
    <row r="116" customFormat="false" ht="36" hidden="false" customHeight="true" outlineLevel="0" collapsed="false">
      <c r="A116" s="20" t="s">
        <v>449</v>
      </c>
      <c r="B116" s="7" t="s">
        <v>450</v>
      </c>
      <c r="C116" s="7" t="s">
        <v>30</v>
      </c>
      <c r="D116" s="27" t="n">
        <v>43.5029291999776</v>
      </c>
      <c r="E116" s="10" t="n">
        <f aca="false">$D116</f>
        <v>43.5029291999776</v>
      </c>
      <c r="F116" s="10" t="n">
        <f aca="false">$D116</f>
        <v>43.5029291999776</v>
      </c>
      <c r="G116" s="7" t="s">
        <v>167</v>
      </c>
      <c r="H116" s="7" t="s">
        <v>451</v>
      </c>
    </row>
    <row r="117" customFormat="false" ht="36" hidden="false" customHeight="true" outlineLevel="0" collapsed="false">
      <c r="A117" s="20" t="s">
        <v>452</v>
      </c>
      <c r="B117" s="7" t="s">
        <v>453</v>
      </c>
      <c r="C117" s="7" t="s">
        <v>30</v>
      </c>
      <c r="D117" s="27" t="n">
        <v>42.9541075237125</v>
      </c>
      <c r="E117" s="10" t="n">
        <f aca="false">$D117</f>
        <v>42.9541075237125</v>
      </c>
      <c r="F117" s="10" t="n">
        <f aca="false">$D117</f>
        <v>42.9541075237125</v>
      </c>
      <c r="G117" s="7" t="s">
        <v>167</v>
      </c>
      <c r="H117" s="7" t="s">
        <v>454</v>
      </c>
    </row>
    <row r="118" customFormat="false" ht="36" hidden="false" customHeight="true" outlineLevel="0" collapsed="false">
      <c r="A118" s="20" t="s">
        <v>455</v>
      </c>
      <c r="B118" s="7" t="s">
        <v>456</v>
      </c>
      <c r="C118" s="7" t="s">
        <v>30</v>
      </c>
      <c r="D118" s="27" t="n">
        <v>131.143205317515</v>
      </c>
      <c r="E118" s="10" t="n">
        <f aca="false">$D118</f>
        <v>131.143205317515</v>
      </c>
      <c r="F118" s="10" t="n">
        <f aca="false">$D118</f>
        <v>131.143205317515</v>
      </c>
      <c r="G118" s="7" t="s">
        <v>167</v>
      </c>
      <c r="H118" s="7" t="s">
        <v>457</v>
      </c>
    </row>
    <row r="119" customFormat="false" ht="36" hidden="false" customHeight="true" outlineLevel="0" collapsed="false">
      <c r="A119" s="20" t="s">
        <v>458</v>
      </c>
      <c r="B119" s="7" t="s">
        <v>459</v>
      </c>
      <c r="C119" s="7" t="s">
        <v>196</v>
      </c>
      <c r="D119" s="27" t="n">
        <v>325052.247366109</v>
      </c>
      <c r="E119" s="27" t="n">
        <v>505578.371049395</v>
      </c>
      <c r="F119" s="27" t="n">
        <v>653951.999999657</v>
      </c>
      <c r="G119" s="7" t="s">
        <v>167</v>
      </c>
      <c r="H119" s="7" t="s">
        <v>460</v>
      </c>
    </row>
    <row r="120" customFormat="false" ht="36" hidden="false" customHeight="true" outlineLevel="0" collapsed="false">
      <c r="A120" s="20" t="s">
        <v>461</v>
      </c>
      <c r="B120" s="7" t="s">
        <v>462</v>
      </c>
      <c r="C120" s="7" t="s">
        <v>196</v>
      </c>
      <c r="D120" s="27" t="n">
        <v>21600.0000000459</v>
      </c>
      <c r="E120" s="27" t="n">
        <v>21600.0000000459</v>
      </c>
      <c r="F120" s="27" t="n">
        <v>21600.0000000459</v>
      </c>
      <c r="G120" s="7" t="s">
        <v>167</v>
      </c>
      <c r="H120" s="7" t="s">
        <v>463</v>
      </c>
    </row>
    <row r="121" customFormat="false" ht="36" hidden="false" customHeight="true" outlineLevel="0" collapsed="false">
      <c r="A121" s="20" t="s">
        <v>464</v>
      </c>
      <c r="B121" s="7" t="s">
        <v>465</v>
      </c>
      <c r="C121" s="7" t="s">
        <v>196</v>
      </c>
      <c r="D121" s="27" t="n">
        <v>0</v>
      </c>
      <c r="E121" s="27" t="n">
        <v>0</v>
      </c>
      <c r="F121" s="27" t="n">
        <v>17567.9999999757</v>
      </c>
      <c r="G121" s="7" t="s">
        <v>167</v>
      </c>
      <c r="H121" s="7" t="s">
        <v>466</v>
      </c>
    </row>
    <row r="122" customFormat="false" ht="36" hidden="false" customHeight="true" outlineLevel="0" collapsed="false">
      <c r="A122" s="20" t="s">
        <v>467</v>
      </c>
      <c r="B122" s="7" t="s">
        <v>468</v>
      </c>
      <c r="C122" s="7" t="s">
        <v>469</v>
      </c>
      <c r="D122" s="28" t="n">
        <v>20284</v>
      </c>
      <c r="E122" s="28" t="n">
        <v>30426</v>
      </c>
      <c r="F122" s="28" t="n">
        <v>40558</v>
      </c>
      <c r="G122" s="7" t="s">
        <v>470</v>
      </c>
      <c r="H122" s="7" t="s">
        <v>471</v>
      </c>
    </row>
    <row r="123" customFormat="false" ht="36" hidden="false" customHeight="true" outlineLevel="0" collapsed="false">
      <c r="A123" s="20" t="s">
        <v>472</v>
      </c>
      <c r="B123" s="7" t="s">
        <v>473</v>
      </c>
      <c r="C123" s="7" t="s">
        <v>469</v>
      </c>
      <c r="D123" s="29"/>
      <c r="E123" s="29"/>
      <c r="F123" s="29"/>
      <c r="G123" s="7" t="s">
        <v>470</v>
      </c>
      <c r="H123" s="7" t="s">
        <v>474</v>
      </c>
    </row>
    <row r="124" customFormat="false" ht="36" hidden="false" customHeight="true" outlineLevel="0" collapsed="false">
      <c r="A124" s="20" t="s">
        <v>475</v>
      </c>
      <c r="B124" s="7" t="s">
        <v>476</v>
      </c>
      <c r="C124" s="7" t="s">
        <v>477</v>
      </c>
      <c r="D124" s="21" t="n">
        <v>14.8</v>
      </c>
      <c r="E124" s="10" t="n">
        <f aca="false">$D124</f>
        <v>14.8</v>
      </c>
      <c r="F124" s="10" t="n">
        <f aca="false">$D124</f>
        <v>14.8</v>
      </c>
      <c r="G124" s="7" t="s">
        <v>137</v>
      </c>
      <c r="H124" s="7" t="s">
        <v>478</v>
      </c>
    </row>
    <row r="125" customFormat="false" ht="36" hidden="false" customHeight="true" outlineLevel="0" collapsed="false">
      <c r="A125" s="20" t="s">
        <v>479</v>
      </c>
      <c r="B125" s="7" t="s">
        <v>480</v>
      </c>
      <c r="C125" s="7" t="s">
        <v>12</v>
      </c>
      <c r="D125" s="30" t="n">
        <v>8</v>
      </c>
      <c r="E125" s="8" t="n">
        <f aca="false">$D125</f>
        <v>8</v>
      </c>
      <c r="F125" s="8" t="n">
        <f aca="false">$D125</f>
        <v>8</v>
      </c>
      <c r="G125" s="7" t="s">
        <v>481</v>
      </c>
      <c r="H125" s="7" t="s">
        <v>482</v>
      </c>
    </row>
    <row r="126" customFormat="false" ht="36" hidden="false" customHeight="true" outlineLevel="0" collapsed="false">
      <c r="A126" s="20" t="s">
        <v>483</v>
      </c>
      <c r="B126" s="7" t="s">
        <v>484</v>
      </c>
      <c r="C126" s="7" t="s">
        <v>23</v>
      </c>
      <c r="D126" s="27" t="n">
        <v>30</v>
      </c>
      <c r="E126" s="10" t="n">
        <f aca="false">$D126</f>
        <v>30</v>
      </c>
      <c r="F126" s="10" t="n">
        <f aca="false">$D126</f>
        <v>30</v>
      </c>
      <c r="G126" s="7" t="s">
        <v>409</v>
      </c>
      <c r="H126" s="7" t="s">
        <v>485</v>
      </c>
    </row>
    <row r="127" customFormat="false" ht="36" hidden="false" customHeight="true" outlineLevel="0" collapsed="false">
      <c r="A127" s="20" t="s">
        <v>486</v>
      </c>
      <c r="B127" s="7" t="s">
        <v>487</v>
      </c>
      <c r="C127" s="7" t="s">
        <v>23</v>
      </c>
      <c r="D127" s="27" t="n">
        <v>40</v>
      </c>
      <c r="E127" s="10" t="n">
        <f aca="false">$D127</f>
        <v>40</v>
      </c>
      <c r="F127" s="10" t="n">
        <f aca="false">$D127</f>
        <v>40</v>
      </c>
      <c r="G127" s="7" t="s">
        <v>409</v>
      </c>
      <c r="H127" s="7" t="s">
        <v>488</v>
      </c>
    </row>
    <row r="128" customFormat="false" ht="36" hidden="false" customHeight="true" outlineLevel="0" collapsed="false">
      <c r="A128" s="20" t="s">
        <v>489</v>
      </c>
      <c r="B128" s="7" t="s">
        <v>490</v>
      </c>
      <c r="C128" s="7" t="s">
        <v>19</v>
      </c>
      <c r="D128" s="22" t="n">
        <v>0.9</v>
      </c>
      <c r="E128" s="9" t="n">
        <f aca="false">$D128</f>
        <v>0.9</v>
      </c>
      <c r="F128" s="9" t="n">
        <f aca="false">$D128</f>
        <v>0.9</v>
      </c>
      <c r="G128" s="7" t="s">
        <v>137</v>
      </c>
      <c r="H128" s="7" t="s">
        <v>491</v>
      </c>
    </row>
    <row r="129" customFormat="false" ht="36" hidden="false" customHeight="true" outlineLevel="0" collapsed="false">
      <c r="A129" s="20" t="s">
        <v>492</v>
      </c>
      <c r="B129" s="7" t="s">
        <v>493</v>
      </c>
      <c r="C129" s="7" t="s">
        <v>196</v>
      </c>
      <c r="D129" s="27" t="n">
        <v>41086.0997999995</v>
      </c>
      <c r="E129" s="10" t="n">
        <f aca="false">$D129</f>
        <v>41086.0997999995</v>
      </c>
      <c r="F129" s="10" t="n">
        <f aca="false">$D129</f>
        <v>41086.0997999995</v>
      </c>
      <c r="G129" s="7" t="s">
        <v>167</v>
      </c>
      <c r="H129" s="7" t="s">
        <v>494</v>
      </c>
    </row>
    <row r="130" customFormat="false" ht="36" hidden="false" customHeight="true" outlineLevel="0" collapsed="false">
      <c r="A130" s="20" t="s">
        <v>495</v>
      </c>
      <c r="B130" s="7" t="s">
        <v>496</v>
      </c>
      <c r="C130" s="7" t="s">
        <v>23</v>
      </c>
      <c r="D130" s="31" t="n">
        <v>6</v>
      </c>
      <c r="E130" s="21" t="n">
        <f aca="false">$D130</f>
        <v>6</v>
      </c>
      <c r="F130" s="21" t="n">
        <f aca="false">$D130</f>
        <v>6</v>
      </c>
      <c r="G130" s="7" t="s">
        <v>470</v>
      </c>
      <c r="H130" s="7" t="s">
        <v>497</v>
      </c>
    </row>
    <row r="131" customFormat="false" ht="36" hidden="false" customHeight="true" outlineLevel="0" collapsed="false">
      <c r="A131" s="20" t="s">
        <v>498</v>
      </c>
      <c r="B131" s="7" t="s">
        <v>499</v>
      </c>
      <c r="C131" s="7" t="s">
        <v>19</v>
      </c>
      <c r="D131" s="32" t="n">
        <v>0.6</v>
      </c>
      <c r="E131" s="22" t="n">
        <f aca="false">$D131</f>
        <v>0.6</v>
      </c>
      <c r="F131" s="22" t="n">
        <f aca="false">$D131</f>
        <v>0.6</v>
      </c>
      <c r="G131" s="7" t="s">
        <v>470</v>
      </c>
      <c r="H131" s="7" t="s">
        <v>500</v>
      </c>
    </row>
    <row r="132" customFormat="false" ht="36" hidden="false" customHeight="true" outlineLevel="0" collapsed="false">
      <c r="A132" s="20" t="s">
        <v>501</v>
      </c>
      <c r="B132" s="7" t="s">
        <v>502</v>
      </c>
      <c r="C132" s="7" t="s">
        <v>12</v>
      </c>
      <c r="D132" s="30" t="n">
        <v>20</v>
      </c>
      <c r="E132" s="8" t="n">
        <f aca="false">$D132</f>
        <v>20</v>
      </c>
      <c r="F132" s="8" t="n">
        <f aca="false">$D132</f>
        <v>20</v>
      </c>
      <c r="G132" s="7" t="s">
        <v>503</v>
      </c>
      <c r="H132" s="7" t="s">
        <v>504</v>
      </c>
    </row>
    <row r="133" customFormat="false" ht="36" hidden="false" customHeight="true" outlineLevel="0" collapsed="false">
      <c r="A133" s="20" t="s">
        <v>505</v>
      </c>
      <c r="B133" s="7" t="s">
        <v>506</v>
      </c>
      <c r="C133" s="7" t="s">
        <v>12</v>
      </c>
      <c r="D133" s="30" t="n">
        <v>4</v>
      </c>
      <c r="E133" s="8" t="n">
        <f aca="false">$D133</f>
        <v>4</v>
      </c>
      <c r="F133" s="8" t="n">
        <f aca="false">$D133</f>
        <v>4</v>
      </c>
      <c r="G133" s="7" t="s">
        <v>503</v>
      </c>
      <c r="H133" s="7" t="s">
        <v>507</v>
      </c>
    </row>
    <row r="134" customFormat="false" ht="36" hidden="false" customHeight="true" outlineLevel="0" collapsed="false">
      <c r="A134" s="20" t="s">
        <v>508</v>
      </c>
      <c r="B134" s="7" t="s">
        <v>509</v>
      </c>
      <c r="C134" s="7" t="s">
        <v>12</v>
      </c>
      <c r="D134" s="30" t="n">
        <v>3</v>
      </c>
      <c r="E134" s="8" t="n">
        <f aca="false">$D134</f>
        <v>3</v>
      </c>
      <c r="F134" s="8" t="n">
        <f aca="false">$D134</f>
        <v>3</v>
      </c>
      <c r="G134" s="7" t="s">
        <v>503</v>
      </c>
      <c r="H134" s="7" t="s">
        <v>510</v>
      </c>
    </row>
    <row r="135" customFormat="false" ht="36" hidden="false" customHeight="true" outlineLevel="0" collapsed="false">
      <c r="A135" s="20" t="s">
        <v>511</v>
      </c>
      <c r="B135" s="7" t="s">
        <v>512</v>
      </c>
      <c r="C135" s="7" t="s">
        <v>23</v>
      </c>
      <c r="D135" s="27" t="n">
        <v>400</v>
      </c>
      <c r="E135" s="10" t="n">
        <f aca="false">$D135</f>
        <v>400</v>
      </c>
      <c r="F135" s="10" t="n">
        <f aca="false">$D135</f>
        <v>400</v>
      </c>
      <c r="G135" s="7" t="s">
        <v>167</v>
      </c>
      <c r="H135" s="7" t="s">
        <v>513</v>
      </c>
    </row>
    <row r="136" customFormat="false" ht="36" hidden="false" customHeight="true" outlineLevel="0" collapsed="false">
      <c r="A136" s="20" t="s">
        <v>514</v>
      </c>
      <c r="B136" s="7" t="s">
        <v>515</v>
      </c>
      <c r="C136" s="7" t="s">
        <v>23</v>
      </c>
      <c r="D136" s="27" t="n">
        <v>120</v>
      </c>
      <c r="E136" s="10" t="n">
        <f aca="false">$D136</f>
        <v>120</v>
      </c>
      <c r="F136" s="10" t="n">
        <f aca="false">$D136</f>
        <v>120</v>
      </c>
      <c r="G136" s="7" t="s">
        <v>167</v>
      </c>
      <c r="H136" s="7" t="s">
        <v>516</v>
      </c>
    </row>
    <row r="137" customFormat="false" ht="36" hidden="false" customHeight="true" outlineLevel="0" collapsed="false">
      <c r="A137" s="20" t="s">
        <v>517</v>
      </c>
      <c r="B137" s="7" t="s">
        <v>518</v>
      </c>
      <c r="C137" s="7" t="s">
        <v>12</v>
      </c>
      <c r="D137" s="30" t="n">
        <v>4</v>
      </c>
      <c r="E137" s="8" t="n">
        <f aca="false">$D137</f>
        <v>4</v>
      </c>
      <c r="F137" s="8" t="n">
        <f aca="false">$D137</f>
        <v>4</v>
      </c>
      <c r="G137" s="7" t="s">
        <v>409</v>
      </c>
      <c r="H137" s="7" t="s">
        <v>519</v>
      </c>
    </row>
    <row r="138" customFormat="false" ht="36" hidden="false" customHeight="true" outlineLevel="0" collapsed="false">
      <c r="A138" s="20" t="s">
        <v>520</v>
      </c>
      <c r="B138" s="7" t="s">
        <v>521</v>
      </c>
      <c r="C138" s="7" t="s">
        <v>19</v>
      </c>
      <c r="D138" s="33" t="n">
        <v>0.33</v>
      </c>
      <c r="E138" s="9" t="n">
        <f aca="false">$D138</f>
        <v>0.33</v>
      </c>
      <c r="F138" s="9" t="n">
        <f aca="false">$D138</f>
        <v>0.33</v>
      </c>
      <c r="G138" s="7" t="s">
        <v>409</v>
      </c>
      <c r="H138" s="7" t="s">
        <v>522</v>
      </c>
    </row>
    <row r="139" customFormat="false" ht="36" hidden="false" customHeight="true" outlineLevel="0" collapsed="false">
      <c r="A139" s="20" t="s">
        <v>523</v>
      </c>
      <c r="B139" s="7" t="s">
        <v>524</v>
      </c>
      <c r="C139" s="7" t="s">
        <v>525</v>
      </c>
      <c r="D139" s="21"/>
      <c r="E139" s="21"/>
      <c r="F139" s="21"/>
      <c r="G139" s="7" t="s">
        <v>470</v>
      </c>
      <c r="H139" s="7" t="s">
        <v>526</v>
      </c>
    </row>
    <row r="140" customFormat="false" ht="36" hidden="false" customHeight="true" outlineLevel="0" collapsed="false">
      <c r="A140" s="20" t="s">
        <v>527</v>
      </c>
      <c r="B140" s="7" t="s">
        <v>528</v>
      </c>
      <c r="C140" s="7" t="s">
        <v>12</v>
      </c>
      <c r="D140" s="30" t="n">
        <v>5</v>
      </c>
      <c r="E140" s="8" t="n">
        <f aca="false">$D140</f>
        <v>5</v>
      </c>
      <c r="F140" s="8" t="n">
        <f aca="false">$D140</f>
        <v>5</v>
      </c>
      <c r="G140" s="7" t="s">
        <v>503</v>
      </c>
      <c r="H140" s="7" t="s">
        <v>529</v>
      </c>
    </row>
    <row r="141" customFormat="false" ht="36" hidden="false" customHeight="true" outlineLevel="0" collapsed="false">
      <c r="A141" s="20" t="s">
        <v>530</v>
      </c>
      <c r="B141" s="7" t="s">
        <v>531</v>
      </c>
      <c r="C141" s="7" t="s">
        <v>23</v>
      </c>
      <c r="D141" s="27" t="n">
        <v>1300</v>
      </c>
      <c r="E141" s="10" t="n">
        <f aca="false">$D141</f>
        <v>1300</v>
      </c>
      <c r="F141" s="10" t="n">
        <f aca="false">$D141</f>
        <v>1300</v>
      </c>
      <c r="G141" s="7" t="s">
        <v>167</v>
      </c>
      <c r="H141" s="7" t="s">
        <v>532</v>
      </c>
    </row>
    <row r="142" customFormat="false" ht="36" hidden="false" customHeight="true" outlineLevel="0" collapsed="false">
      <c r="A142" s="20" t="s">
        <v>533</v>
      </c>
      <c r="B142" s="7" t="s">
        <v>534</v>
      </c>
      <c r="C142" s="7" t="s">
        <v>12</v>
      </c>
      <c r="D142" s="30" t="n">
        <v>2</v>
      </c>
      <c r="E142" s="8" t="n">
        <f aca="false">$D142</f>
        <v>2</v>
      </c>
      <c r="F142" s="8" t="n">
        <f aca="false">$D142</f>
        <v>2</v>
      </c>
      <c r="G142" s="7" t="s">
        <v>503</v>
      </c>
      <c r="H142" s="7" t="s">
        <v>535</v>
      </c>
    </row>
    <row r="143" customFormat="false" ht="36" hidden="false" customHeight="true" outlineLevel="0" collapsed="false">
      <c r="A143" s="20" t="s">
        <v>536</v>
      </c>
      <c r="B143" s="7" t="s">
        <v>537</v>
      </c>
      <c r="C143" s="7" t="s">
        <v>23</v>
      </c>
      <c r="D143" s="27" t="n">
        <v>1404.9</v>
      </c>
      <c r="E143" s="10" t="n">
        <f aca="false">$D143</f>
        <v>1404.9</v>
      </c>
      <c r="F143" s="10" t="n">
        <f aca="false">$D143</f>
        <v>1404.9</v>
      </c>
      <c r="G143" s="7" t="s">
        <v>167</v>
      </c>
      <c r="H143" s="7" t="s">
        <v>538</v>
      </c>
    </row>
    <row r="144" customFormat="false" ht="36" hidden="false" customHeight="true" outlineLevel="0" collapsed="false">
      <c r="A144" s="20" t="s">
        <v>539</v>
      </c>
      <c r="B144" s="7" t="s">
        <v>540</v>
      </c>
      <c r="C144" s="7" t="s">
        <v>12</v>
      </c>
      <c r="D144" s="30" t="n">
        <v>10</v>
      </c>
      <c r="E144" s="8" t="n">
        <f aca="false">$D144</f>
        <v>10</v>
      </c>
      <c r="F144" s="8" t="n">
        <f aca="false">$D144</f>
        <v>10</v>
      </c>
      <c r="G144" s="7" t="s">
        <v>409</v>
      </c>
      <c r="H144" s="7" t="s">
        <v>541</v>
      </c>
    </row>
    <row r="145" customFormat="false" ht="36" hidden="false" customHeight="true" outlineLevel="0" collapsed="false">
      <c r="A145" s="20" t="s">
        <v>542</v>
      </c>
      <c r="B145" s="7" t="s">
        <v>543</v>
      </c>
      <c r="C145" s="7" t="s">
        <v>12</v>
      </c>
      <c r="D145" s="30" t="n">
        <v>10</v>
      </c>
      <c r="E145" s="8" t="n">
        <f aca="false">$D145</f>
        <v>10</v>
      </c>
      <c r="F145" s="8" t="n">
        <f aca="false">$D145</f>
        <v>10</v>
      </c>
      <c r="G145" s="7" t="s">
        <v>409</v>
      </c>
      <c r="H145" s="7" t="s">
        <v>544</v>
      </c>
    </row>
    <row r="146" customFormat="false" ht="36" hidden="false" customHeight="true" outlineLevel="0" collapsed="false">
      <c r="A146" s="20" t="s">
        <v>545</v>
      </c>
      <c r="B146" s="7" t="s">
        <v>546</v>
      </c>
      <c r="C146" s="7" t="s">
        <v>196</v>
      </c>
      <c r="D146" s="31" t="n">
        <v>806595</v>
      </c>
      <c r="E146" s="10" t="n">
        <f aca="false">$D146</f>
        <v>806595</v>
      </c>
      <c r="F146" s="10" t="n">
        <f aca="false">$D146</f>
        <v>806595</v>
      </c>
      <c r="G146" s="7" t="s">
        <v>167</v>
      </c>
      <c r="H146" s="7" t="s">
        <v>547</v>
      </c>
    </row>
    <row r="147" customFormat="false" ht="36" hidden="false" customHeight="true" outlineLevel="0" collapsed="false">
      <c r="A147" s="20" t="s">
        <v>548</v>
      </c>
      <c r="B147" s="7" t="s">
        <v>549</v>
      </c>
      <c r="C147" s="7" t="s">
        <v>196</v>
      </c>
      <c r="D147" s="31" t="n">
        <v>93149</v>
      </c>
      <c r="E147" s="10" t="n">
        <f aca="false">$D147</f>
        <v>93149</v>
      </c>
      <c r="F147" s="10" t="n">
        <f aca="false">$D147</f>
        <v>93149</v>
      </c>
      <c r="G147" s="7" t="s">
        <v>550</v>
      </c>
      <c r="H147" s="7" t="s">
        <v>551</v>
      </c>
    </row>
    <row r="148" customFormat="false" ht="30.75" hidden="false" customHeight="true" outlineLevel="0" collapsed="false">
      <c r="A148" s="6"/>
      <c r="B148" s="7" t="s">
        <v>552</v>
      </c>
      <c r="C148" s="7" t="s">
        <v>246</v>
      </c>
      <c r="D148" s="31" t="n">
        <v>12.5</v>
      </c>
      <c r="E148" s="10" t="n">
        <f aca="false">$D148</f>
        <v>12.5</v>
      </c>
      <c r="F148" s="10" t="n">
        <f aca="false">$D148</f>
        <v>12.5</v>
      </c>
      <c r="G148" s="7"/>
      <c r="H148" s="7" t="s">
        <v>553</v>
      </c>
    </row>
  </sheetData>
  <dataValidations count="1">
    <dataValidation allowBlank="false" errorStyle="stop" operator="between" showDropDown="false" showErrorMessage="false" showInputMessage="false" sqref="D3" type="whole">
      <formula1>3</formula1>
      <formula2>4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9"/>
    <col collapsed="false" customWidth="true" hidden="false" outlineLevel="0" max="3" min="3" style="0" width="18"/>
    <col collapsed="false" customWidth="true" hidden="false" outlineLevel="0" max="6" min="4" style="0" width="17"/>
    <col collapsed="false" customWidth="true" hidden="false" outlineLevel="0" max="7" min="7" style="0" width="24"/>
    <col collapsed="false" customWidth="true" hidden="false" outlineLevel="0" max="8" min="8" style="0" width="6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8.55" hidden="false" customHeight="false" outlineLevel="0" collapsed="false">
      <c r="A2" s="2" t="s">
        <v>554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 t="s">
        <v>1</v>
      </c>
      <c r="C3" s="3"/>
      <c r="D3" s="4" t="n">
        <f aca="false">Invoer!$D$3</f>
        <v>3</v>
      </c>
      <c r="E3" s="3"/>
      <c r="F3" s="3"/>
      <c r="G3" s="3"/>
      <c r="H3" s="3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27" hidden="false" customHeight="true" outlineLevel="0" collapsed="false">
      <c r="A5" s="5" t="s">
        <v>3</v>
      </c>
      <c r="B5" s="5" t="s">
        <v>555</v>
      </c>
      <c r="C5" s="5" t="s">
        <v>556</v>
      </c>
      <c r="D5" s="5" t="s">
        <v>557</v>
      </c>
      <c r="E5" s="5" t="s">
        <v>114</v>
      </c>
      <c r="F5" s="5" t="s">
        <v>558</v>
      </c>
      <c r="G5" s="5"/>
      <c r="H5" s="5" t="s">
        <v>559</v>
      </c>
    </row>
    <row r="6" customFormat="false" ht="34.5" hidden="false" customHeight="true" outlineLevel="0" collapsed="false">
      <c r="A6" s="6" t="s">
        <v>560</v>
      </c>
      <c r="B6" s="7" t="s">
        <v>561</v>
      </c>
      <c r="C6" s="34" t="n">
        <v>1.5</v>
      </c>
      <c r="D6" s="10" t="n">
        <f aca="false">C6*Invoer!D62</f>
        <v>72.3</v>
      </c>
      <c r="E6" s="10"/>
      <c r="F6" s="10" t="s">
        <v>562</v>
      </c>
      <c r="G6" s="7"/>
      <c r="H6" s="7" t="s">
        <v>563</v>
      </c>
    </row>
    <row r="7" customFormat="false" ht="34.5" hidden="false" customHeight="true" outlineLevel="0" collapsed="false">
      <c r="A7" s="6" t="s">
        <v>564</v>
      </c>
      <c r="B7" s="7" t="s">
        <v>565</v>
      </c>
      <c r="C7" s="34" t="n">
        <v>0</v>
      </c>
      <c r="D7" s="10" t="n">
        <f aca="false">C7*Invoer!D62</f>
        <v>0</v>
      </c>
      <c r="E7" s="10"/>
      <c r="F7" s="10" t="s">
        <v>566</v>
      </c>
      <c r="G7" s="7"/>
      <c r="H7" s="7" t="s">
        <v>567</v>
      </c>
    </row>
    <row r="8" customFormat="false" ht="34.5" hidden="false" customHeight="true" outlineLevel="0" collapsed="false">
      <c r="A8" s="6" t="s">
        <v>568</v>
      </c>
      <c r="B8" s="7" t="s">
        <v>569</v>
      </c>
      <c r="C8" s="34" t="n">
        <v>0.6</v>
      </c>
      <c r="D8" s="10" t="n">
        <f aca="false">C8*Invoer!D62</f>
        <v>28.92</v>
      </c>
      <c r="E8" s="10"/>
      <c r="F8" s="10" t="s">
        <v>570</v>
      </c>
      <c r="G8" s="7"/>
      <c r="H8" s="7" t="s">
        <v>571</v>
      </c>
    </row>
    <row r="9" customFormat="false" ht="34.5" hidden="false" customHeight="true" outlineLevel="0" collapsed="false">
      <c r="A9" s="6" t="s">
        <v>572</v>
      </c>
      <c r="B9" s="7" t="s">
        <v>573</v>
      </c>
      <c r="C9" s="34" t="n">
        <v>1</v>
      </c>
      <c r="D9" s="10" t="n">
        <f aca="false">C9*Invoer!D62</f>
        <v>48.2</v>
      </c>
      <c r="E9" s="10"/>
      <c r="F9" s="10" t="s">
        <v>574</v>
      </c>
      <c r="G9" s="7"/>
      <c r="H9" s="7" t="s">
        <v>575</v>
      </c>
    </row>
    <row r="10" customFormat="false" ht="34.5" hidden="false" customHeight="true" outlineLevel="0" collapsed="false">
      <c r="A10" s="6" t="s">
        <v>576</v>
      </c>
      <c r="B10" s="7" t="s">
        <v>577</v>
      </c>
      <c r="C10" s="34" t="n">
        <v>0</v>
      </c>
      <c r="D10" s="10" t="n">
        <f aca="false">C10*Invoer!D62</f>
        <v>0</v>
      </c>
      <c r="E10" s="10"/>
      <c r="F10" s="10" t="s">
        <v>578</v>
      </c>
      <c r="G10" s="7"/>
      <c r="H10" s="7" t="s">
        <v>579</v>
      </c>
    </row>
    <row r="11" customFormat="false" ht="34.5" hidden="false" customHeight="true" outlineLevel="0" collapsed="false">
      <c r="A11" s="6" t="s">
        <v>580</v>
      </c>
      <c r="B11" s="7" t="s">
        <v>581</v>
      </c>
      <c r="C11" s="34" t="n">
        <v>0.5</v>
      </c>
      <c r="D11" s="10" t="n">
        <f aca="false">C11*Invoer!D62</f>
        <v>24.1</v>
      </c>
      <c r="E11" s="10"/>
      <c r="F11" s="10" t="s">
        <v>582</v>
      </c>
      <c r="G11" s="7"/>
      <c r="H11" s="7" t="s">
        <v>583</v>
      </c>
    </row>
    <row r="12" customFormat="false" ht="34.5" hidden="false" customHeight="true" outlineLevel="0" collapsed="false">
      <c r="A12" s="6" t="s">
        <v>584</v>
      </c>
      <c r="B12" s="7" t="s">
        <v>585</v>
      </c>
      <c r="C12" s="34" t="n">
        <v>0</v>
      </c>
      <c r="D12" s="10" t="n">
        <f aca="false">C12*Invoer!D62</f>
        <v>0</v>
      </c>
      <c r="E12" s="10"/>
      <c r="F12" s="10" t="s">
        <v>586</v>
      </c>
      <c r="G12" s="7"/>
      <c r="H12" s="7" t="s">
        <v>587</v>
      </c>
    </row>
    <row r="13" customFormat="false" ht="34.5" hidden="false" customHeight="true" outlineLevel="0" collapsed="false">
      <c r="A13" s="6" t="s">
        <v>588</v>
      </c>
      <c r="B13" s="7" t="s">
        <v>589</v>
      </c>
      <c r="C13" s="35" t="n">
        <f aca="false">IF(D25/Invoer!D63&gt;=1.5,0,0.2)</f>
        <v>0.2</v>
      </c>
      <c r="D13" s="10" t="n">
        <f aca="false">C13*Invoer!D62</f>
        <v>9.64</v>
      </c>
      <c r="E13" s="10"/>
      <c r="F13" s="10" t="s">
        <v>590</v>
      </c>
      <c r="G13" s="7"/>
      <c r="H13" s="7" t="s">
        <v>591</v>
      </c>
    </row>
    <row r="14" customFormat="false" ht="34.5" hidden="false" customHeight="true" outlineLevel="0" collapsed="false">
      <c r="A14" s="6" t="s">
        <v>592</v>
      </c>
      <c r="B14" s="7" t="s">
        <v>593</v>
      </c>
      <c r="C14" s="35" t="n">
        <f aca="false">IF(D25/Invoer!D63&gt;=1.5,0,IF(D25/Invoer!D63&gt;=1.25,0.1,0.2))</f>
        <v>0.1</v>
      </c>
      <c r="D14" s="10" t="n">
        <f aca="false">C14*Invoer!D62</f>
        <v>4.82</v>
      </c>
      <c r="E14" s="10"/>
      <c r="F14" s="10" t="s">
        <v>594</v>
      </c>
      <c r="G14" s="7"/>
      <c r="H14" s="7" t="s">
        <v>595</v>
      </c>
    </row>
    <row r="15" customFormat="false" ht="34.5" hidden="false" customHeight="true" outlineLevel="0" collapsed="false">
      <c r="A15" s="6" t="s">
        <v>596</v>
      </c>
      <c r="B15" s="7" t="s">
        <v>597</v>
      </c>
      <c r="C15" s="34" t="n">
        <v>0.3</v>
      </c>
      <c r="D15" s="10" t="n">
        <f aca="false">C15*Invoer!D62</f>
        <v>14.46</v>
      </c>
      <c r="E15" s="10"/>
      <c r="F15" s="10" t="s">
        <v>598</v>
      </c>
      <c r="G15" s="7"/>
      <c r="H15" s="7" t="s">
        <v>599</v>
      </c>
    </row>
    <row r="16" customFormat="false" ht="34.5" hidden="false" customHeight="true" outlineLevel="0" collapsed="false">
      <c r="A16" s="6" t="s">
        <v>600</v>
      </c>
      <c r="B16" s="7" t="s">
        <v>601</v>
      </c>
      <c r="C16" s="34" t="n">
        <v>0.3</v>
      </c>
      <c r="D16" s="10" t="n">
        <f aca="false">C16*Invoer!D62</f>
        <v>14.46</v>
      </c>
      <c r="E16" s="10"/>
      <c r="F16" s="10" t="s">
        <v>598</v>
      </c>
      <c r="G16" s="7"/>
      <c r="H16" s="7" t="s">
        <v>599</v>
      </c>
    </row>
    <row r="17" customFormat="false" ht="27" hidden="false" customHeight="true" outlineLevel="0" collapsed="false">
      <c r="A17" s="6"/>
      <c r="B17" s="7"/>
      <c r="C17" s="6"/>
      <c r="D17" s="10"/>
      <c r="E17" s="10"/>
      <c r="F17" s="10"/>
      <c r="G17" s="7"/>
      <c r="H17" s="7"/>
    </row>
    <row r="18" customFormat="false" ht="27" hidden="false" customHeight="true" outlineLevel="0" collapsed="false">
      <c r="A18" s="6"/>
      <c r="B18" s="7" t="s">
        <v>602</v>
      </c>
      <c r="C18" s="6" t="n">
        <f aca="false">SUM(C6:C16)</f>
        <v>4.5</v>
      </c>
      <c r="D18" s="10"/>
      <c r="E18" s="10"/>
      <c r="F18" s="10"/>
      <c r="G18" s="7"/>
      <c r="H18" s="7"/>
    </row>
    <row r="19" customFormat="false" ht="27" hidden="false" customHeight="true" outlineLevel="0" collapsed="false">
      <c r="A19" s="6"/>
      <c r="B19" s="7" t="s">
        <v>603</v>
      </c>
      <c r="C19" s="6" t="s">
        <v>23</v>
      </c>
      <c r="D19" s="10" t="n">
        <f aca="false">C18*Invoer!D62</f>
        <v>216.9</v>
      </c>
      <c r="E19" s="10"/>
      <c r="F19" s="10"/>
      <c r="G19" s="7"/>
      <c r="H19" s="7"/>
    </row>
    <row r="20" customFormat="false" ht="27" hidden="false" customHeight="true" outlineLevel="0" collapsed="false">
      <c r="A20" s="6"/>
      <c r="B20" s="7" t="s">
        <v>384</v>
      </c>
      <c r="C20" s="6" t="s">
        <v>23</v>
      </c>
      <c r="D20" s="10" t="n">
        <f aca="false">Invoer!D93</f>
        <v>220</v>
      </c>
      <c r="E20" s="10"/>
      <c r="F20" s="10"/>
      <c r="G20" s="7"/>
      <c r="H20" s="7"/>
    </row>
    <row r="21" customFormat="false" ht="27" hidden="false" customHeight="true" outlineLevel="0" collapsed="false">
      <c r="A21" s="6"/>
      <c r="B21" s="7"/>
      <c r="C21" s="6"/>
      <c r="D21" s="10"/>
      <c r="E21" s="10"/>
      <c r="F21" s="10"/>
      <c r="G21" s="7"/>
      <c r="H21" s="7"/>
    </row>
    <row r="22" customFormat="false" ht="27" hidden="false" customHeight="true" outlineLevel="0" collapsed="false">
      <c r="A22" s="12" t="s">
        <v>604</v>
      </c>
      <c r="B22" s="13"/>
      <c r="C22" s="12"/>
      <c r="D22" s="14"/>
      <c r="E22" s="14"/>
      <c r="F22" s="14"/>
      <c r="G22" s="13"/>
      <c r="H22" s="13"/>
    </row>
    <row r="23" customFormat="false" ht="27" hidden="false" customHeight="true" outlineLevel="0" collapsed="false">
      <c r="A23" s="6"/>
      <c r="B23" s="7"/>
      <c r="C23" s="6"/>
      <c r="D23" s="10"/>
      <c r="E23" s="10"/>
      <c r="F23" s="10"/>
      <c r="G23" s="7"/>
      <c r="H23" s="7"/>
    </row>
    <row r="24" customFormat="false" ht="27" hidden="false" customHeight="true" outlineLevel="0" collapsed="false">
      <c r="A24" s="6" t="s">
        <v>605</v>
      </c>
      <c r="B24" s="7" t="s">
        <v>606</v>
      </c>
      <c r="C24" s="6" t="s">
        <v>23</v>
      </c>
      <c r="D24" s="10" t="n">
        <f aca="false">SUM(Invoer!D63,Invoer!D64,Invoer!D65,Invoer!D66,Invoer!D67,Invoer!D68,Invoer!D69)</f>
        <v>17.7</v>
      </c>
      <c r="E24" s="10"/>
      <c r="F24" s="10"/>
      <c r="G24" s="7"/>
      <c r="H24" s="7" t="s">
        <v>607</v>
      </c>
    </row>
    <row r="25" customFormat="false" ht="27" hidden="false" customHeight="true" outlineLevel="0" collapsed="false">
      <c r="A25" s="6" t="s">
        <v>608</v>
      </c>
      <c r="B25" s="7" t="s">
        <v>609</v>
      </c>
      <c r="C25" s="6" t="s">
        <v>60</v>
      </c>
      <c r="D25" s="10" t="n">
        <f aca="false">Invoer!D101</f>
        <v>18.2</v>
      </c>
      <c r="E25" s="10"/>
      <c r="F25" s="10"/>
      <c r="G25" s="7"/>
      <c r="H25" s="7" t="s">
        <v>610</v>
      </c>
    </row>
    <row r="26" customFormat="false" ht="27" hidden="false" customHeight="true" outlineLevel="0" collapsed="false">
      <c r="A26" s="6" t="s">
        <v>611</v>
      </c>
      <c r="B26" s="7" t="s">
        <v>612</v>
      </c>
      <c r="C26" s="6" t="s">
        <v>78</v>
      </c>
      <c r="D26" s="36" t="n">
        <f aca="false">D25/Invoer!D63</f>
        <v>1.2551724137931</v>
      </c>
      <c r="E26" s="10"/>
      <c r="F26" s="10"/>
      <c r="G26" s="7"/>
      <c r="H26" s="7" t="s">
        <v>613</v>
      </c>
    </row>
    <row r="27" customFormat="false" ht="27" hidden="false" customHeight="true" outlineLevel="0" collapsed="false">
      <c r="A27" s="6" t="s">
        <v>614</v>
      </c>
      <c r="B27" s="7" t="s">
        <v>615</v>
      </c>
      <c r="C27" s="6" t="s">
        <v>23</v>
      </c>
      <c r="D27" s="10" t="n">
        <f aca="false">Invoer!D71*Invoer!D61</f>
        <v>701.4</v>
      </c>
      <c r="E27" s="10"/>
      <c r="F27" s="10"/>
      <c r="G27" s="7"/>
      <c r="H27" s="7" t="s">
        <v>616</v>
      </c>
    </row>
    <row r="28" customFormat="false" ht="27" hidden="false" customHeight="true" outlineLevel="0" collapsed="false">
      <c r="A28" s="6" t="s">
        <v>617</v>
      </c>
      <c r="B28" s="7" t="s">
        <v>333</v>
      </c>
      <c r="C28" s="6" t="s">
        <v>23</v>
      </c>
      <c r="D28" s="10" t="n">
        <f aca="false">Invoer!D72</f>
        <v>720</v>
      </c>
      <c r="E28" s="10"/>
      <c r="F28" s="10"/>
      <c r="G28" s="7"/>
      <c r="H28" s="7" t="s">
        <v>618</v>
      </c>
    </row>
    <row r="29" customFormat="false" ht="27" hidden="false" customHeight="true" outlineLevel="0" collapsed="false">
      <c r="A29" s="6" t="s">
        <v>619</v>
      </c>
      <c r="B29" s="7" t="s">
        <v>65</v>
      </c>
      <c r="C29" s="6" t="s">
        <v>23</v>
      </c>
      <c r="D29" s="10" t="n">
        <f aca="false">Invoer!D73</f>
        <v>350</v>
      </c>
      <c r="E29" s="10"/>
      <c r="F29" s="10"/>
      <c r="G29" s="7"/>
      <c r="H29" s="7" t="s">
        <v>620</v>
      </c>
    </row>
    <row r="30" customFormat="false" ht="27" hidden="false" customHeight="true" outlineLevel="0" collapsed="false">
      <c r="A30" s="6" t="s">
        <v>621</v>
      </c>
      <c r="B30" s="7" t="s">
        <v>622</v>
      </c>
      <c r="C30" s="6" t="s">
        <v>23</v>
      </c>
      <c r="D30" s="10" t="n">
        <f aca="false">D20-D19</f>
        <v>3.09999999999999</v>
      </c>
      <c r="E30" s="10"/>
      <c r="F30" s="10"/>
      <c r="G30" s="7"/>
      <c r="H30" s="7" t="s">
        <v>623</v>
      </c>
    </row>
    <row r="31" customFormat="false" ht="27" hidden="false" customHeight="true" outlineLevel="0" collapsed="false">
      <c r="A31" s="6" t="s">
        <v>624</v>
      </c>
      <c r="B31" s="7" t="s">
        <v>625</v>
      </c>
      <c r="C31" s="6" t="s">
        <v>23</v>
      </c>
      <c r="D31" s="21" t="n">
        <f aca="false">Invoer!D97</f>
        <v>21945.5096812288</v>
      </c>
      <c r="E31" s="10"/>
      <c r="F31" s="10"/>
      <c r="G31" s="7"/>
      <c r="H31" s="7" t="s">
        <v>626</v>
      </c>
    </row>
    <row r="32" customFormat="false" ht="27" hidden="false" customHeight="true" outlineLevel="0" collapsed="false">
      <c r="A32" s="6" t="s">
        <v>627</v>
      </c>
      <c r="B32" s="7" t="s">
        <v>628</v>
      </c>
      <c r="C32" s="6" t="s">
        <v>629</v>
      </c>
      <c r="D32" s="10" t="n">
        <f aca="false">IF(COUNT(D31)=1,D31/(Invoer!D74*1852),"")</f>
        <v>1.97493787628049</v>
      </c>
      <c r="E32" s="10"/>
      <c r="F32" s="10"/>
      <c r="G32" s="7"/>
      <c r="H32" s="7" t="s">
        <v>630</v>
      </c>
    </row>
    <row r="33" customFormat="false" ht="27" hidden="false" customHeight="true" outlineLevel="0" collapsed="false">
      <c r="A33" s="6"/>
      <c r="B33" s="7"/>
      <c r="C33" s="6"/>
      <c r="D33" s="10"/>
      <c r="E33" s="10"/>
      <c r="F33" s="10"/>
      <c r="G33" s="7"/>
      <c r="H33" s="7"/>
    </row>
    <row r="34" customFormat="false" ht="27" hidden="false" customHeight="true" outlineLevel="0" collapsed="false">
      <c r="A34" s="6"/>
      <c r="B34" s="7"/>
      <c r="C34" s="6"/>
      <c r="D34" s="10"/>
      <c r="E34" s="10"/>
      <c r="F34" s="10"/>
      <c r="G34" s="7"/>
      <c r="H34" s="7"/>
    </row>
    <row r="35" customFormat="false" ht="27" hidden="false" customHeight="true" outlineLevel="0" collapsed="false">
      <c r="A35" s="12" t="s">
        <v>631</v>
      </c>
      <c r="B35" s="13"/>
      <c r="C35" s="12"/>
      <c r="D35" s="14"/>
      <c r="E35" s="14"/>
      <c r="F35" s="14"/>
      <c r="G35" s="13"/>
      <c r="H35" s="13"/>
    </row>
    <row r="36" customFormat="false" ht="27" hidden="false" customHeight="true" outlineLevel="0" collapsed="false">
      <c r="A36" s="5" t="s">
        <v>3</v>
      </c>
      <c r="B36" s="5" t="s">
        <v>632</v>
      </c>
      <c r="C36" s="5" t="s">
        <v>633</v>
      </c>
      <c r="D36" s="37" t="s">
        <v>634</v>
      </c>
      <c r="E36" s="37" t="s">
        <v>635</v>
      </c>
      <c r="F36" s="37" t="s">
        <v>636</v>
      </c>
      <c r="G36" s="5" t="s">
        <v>114</v>
      </c>
      <c r="H36" s="7"/>
    </row>
    <row r="37" customFormat="false" ht="27" hidden="false" customHeight="true" outlineLevel="0" collapsed="false">
      <c r="A37" s="6" t="s">
        <v>637</v>
      </c>
      <c r="B37" s="7" t="s">
        <v>638</v>
      </c>
      <c r="C37" s="6" t="n">
        <v>48.2</v>
      </c>
      <c r="D37" s="10" t="n">
        <v>1.5</v>
      </c>
      <c r="E37" s="10" t="n">
        <v>0</v>
      </c>
      <c r="F37" s="10" t="n">
        <f aca="false">C37*($C$18-$C$6+D37+E37)</f>
        <v>216.9</v>
      </c>
      <c r="G37" s="7" t="str">
        <f aca="false">IF(F37&lt;=$D$20,"BINNEN BREEDTE","EXTRA BREEDTE")</f>
        <v>BINNEN BREEDTE</v>
      </c>
      <c r="H37" s="7"/>
    </row>
    <row r="38" customFormat="false" ht="27" hidden="false" customHeight="true" outlineLevel="0" collapsed="false">
      <c r="A38" s="6" t="s">
        <v>639</v>
      </c>
      <c r="B38" s="7" t="s">
        <v>640</v>
      </c>
      <c r="C38" s="6" t="n">
        <v>45.8</v>
      </c>
      <c r="D38" s="10" t="n">
        <v>1.5</v>
      </c>
      <c r="E38" s="10" t="n">
        <v>0</v>
      </c>
      <c r="F38" s="10" t="n">
        <f aca="false">C38*($C$18-$C$6+D38+E38)</f>
        <v>206.1</v>
      </c>
      <c r="G38" s="7" t="str">
        <f aca="false">IF(F38&lt;=$D$20,"BINNEN BREEDTE","EXTRA BREEDTE")</f>
        <v>BINNEN BREEDTE</v>
      </c>
      <c r="H38" s="7"/>
    </row>
    <row r="39" customFormat="false" ht="27" hidden="false" customHeight="true" outlineLevel="0" collapsed="false">
      <c r="A39" s="6" t="s">
        <v>641</v>
      </c>
      <c r="B39" s="7" t="s">
        <v>423</v>
      </c>
      <c r="C39" s="6" t="n">
        <v>32.26</v>
      </c>
      <c r="D39" s="10" t="n">
        <v>1.8</v>
      </c>
      <c r="E39" s="10" t="n">
        <v>0</v>
      </c>
      <c r="F39" s="10" t="n">
        <f aca="false">C39*($C$18-$C$6+D39+E39)</f>
        <v>154.848</v>
      </c>
      <c r="G39" s="7" t="str">
        <f aca="false">IF(F39&lt;=$D$20,"BINNEN BREEDTE","EXTRA BREEDTE")</f>
        <v>BINNEN BREEDTE</v>
      </c>
      <c r="H39" s="7"/>
    </row>
    <row r="40" customFormat="false" ht="27" hidden="false" customHeight="true" outlineLevel="0" collapsed="false">
      <c r="A40" s="6" t="s">
        <v>642</v>
      </c>
      <c r="B40" s="7" t="s">
        <v>643</v>
      </c>
      <c r="C40" s="6" t="n">
        <v>37.7</v>
      </c>
      <c r="D40" s="10" t="n">
        <v>1.5</v>
      </c>
      <c r="E40" s="10" t="n">
        <v>0.2</v>
      </c>
      <c r="F40" s="10" t="n">
        <f aca="false">C40*($C$18-$C$6+D40+E40)</f>
        <v>177.19</v>
      </c>
      <c r="G40" s="7" t="str">
        <f aca="false">IF(F40&lt;=$D$20,"BINNEN BREEDTE","EXTRA BREEDTE")</f>
        <v>BINNEN BREEDTE</v>
      </c>
      <c r="H40" s="7"/>
    </row>
    <row r="41" customFormat="false" ht="27" hidden="false" customHeight="true" outlineLevel="0" collapsed="false">
      <c r="A41" s="6" t="s">
        <v>644</v>
      </c>
      <c r="B41" s="7" t="s">
        <v>645</v>
      </c>
      <c r="C41" s="6" t="n">
        <v>53.8</v>
      </c>
      <c r="D41" s="10" t="n">
        <v>1.5</v>
      </c>
      <c r="E41" s="10" t="n">
        <v>0</v>
      </c>
      <c r="F41" s="10" t="n">
        <f aca="false">C41*($C$18-$C$6+D41+E41)</f>
        <v>242.1</v>
      </c>
      <c r="G41" s="7" t="str">
        <f aca="false">IF(F41&lt;=$D$20,"BINNEN BREEDTE","EXTRA BREEDTE")</f>
        <v>EXTRA BREEDTE</v>
      </c>
      <c r="H41" s="7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</row>
    <row r="44" customFormat="false" ht="24.75" hidden="false" customHeight="true" outlineLevel="0" collapsed="false">
      <c r="A44" s="12" t="s">
        <v>646</v>
      </c>
      <c r="B44" s="13"/>
      <c r="C44" s="13"/>
      <c r="D44" s="14"/>
      <c r="E44" s="14"/>
      <c r="F44" s="14"/>
      <c r="G44" s="13"/>
      <c r="H44" s="13"/>
    </row>
    <row r="45" customFormat="false" ht="30.75" hidden="false" customHeight="true" outlineLevel="0" collapsed="false">
      <c r="A45" s="6"/>
      <c r="B45" s="7" t="s">
        <v>64</v>
      </c>
      <c r="C45" s="7" t="s">
        <v>23</v>
      </c>
      <c r="D45" s="10" t="n">
        <f aca="false">Invoer!D100</f>
        <v>670</v>
      </c>
      <c r="E45" s="10"/>
      <c r="F45" s="10"/>
      <c r="G45" s="7"/>
      <c r="H45" s="7" t="s">
        <v>647</v>
      </c>
    </row>
    <row r="46" customFormat="false" ht="30.75" hidden="false" customHeight="true" outlineLevel="0" collapsed="false">
      <c r="A46" s="6"/>
      <c r="B46" s="7" t="s">
        <v>648</v>
      </c>
      <c r="C46" s="7" t="s">
        <v>23</v>
      </c>
      <c r="D46" s="10" t="n">
        <f aca="false">Invoer!D94</f>
        <v>260</v>
      </c>
      <c r="E46" s="10"/>
      <c r="F46" s="10"/>
      <c r="G46" s="7"/>
      <c r="H46" s="7" t="s">
        <v>649</v>
      </c>
    </row>
    <row r="47" customFormat="false" ht="30.75" hidden="false" customHeight="true" outlineLevel="0" collapsed="false">
      <c r="A47" s="6"/>
      <c r="B47" s="7" t="s">
        <v>650</v>
      </c>
      <c r="C47" s="7" t="s">
        <v>23</v>
      </c>
      <c r="D47" s="10" t="n">
        <f aca="false">Invoer!D95</f>
        <v>3400</v>
      </c>
      <c r="E47" s="10"/>
      <c r="F47" s="10"/>
      <c r="G47" s="7"/>
      <c r="H47" s="7" t="s">
        <v>651</v>
      </c>
    </row>
    <row r="48" customFormat="false" ht="30.75" hidden="false" customHeight="true" outlineLevel="0" collapsed="false">
      <c r="A48" s="6"/>
      <c r="B48" s="7" t="s">
        <v>652</v>
      </c>
      <c r="C48" s="7" t="s">
        <v>393</v>
      </c>
      <c r="D48" s="10" t="n">
        <f aca="false">Invoer!D96</f>
        <v>45.9308064628879</v>
      </c>
      <c r="E48" s="10"/>
      <c r="F48" s="10"/>
      <c r="G48" s="7"/>
      <c r="H48" s="7" t="s">
        <v>651</v>
      </c>
    </row>
    <row r="49" customFormat="false" ht="30.75" hidden="false" customHeight="true" outlineLevel="0" collapsed="false">
      <c r="A49" s="6"/>
      <c r="B49" s="7" t="s">
        <v>653</v>
      </c>
      <c r="C49" s="7" t="s">
        <v>23</v>
      </c>
      <c r="D49" s="10" t="n">
        <f aca="false">Invoer!D98</f>
        <v>1720.05871716633</v>
      </c>
      <c r="E49" s="10"/>
      <c r="F49" s="10"/>
      <c r="G49" s="7"/>
      <c r="H49" s="7" t="s">
        <v>654</v>
      </c>
    </row>
    <row r="50" customFormat="false" ht="30.75" hidden="false" customHeight="true" outlineLevel="0" collapsed="false">
      <c r="A50" s="6"/>
      <c r="B50" s="7" t="s">
        <v>655</v>
      </c>
      <c r="C50" s="7" t="s">
        <v>23</v>
      </c>
      <c r="D50" s="10" t="n">
        <f aca="false">D31-D49</f>
        <v>20225.4509640624</v>
      </c>
      <c r="E50" s="10"/>
      <c r="F50" s="10"/>
      <c r="G50" s="7"/>
      <c r="H50" s="7" t="s">
        <v>656</v>
      </c>
    </row>
    <row r="51" customFormat="false" ht="30.75" hidden="false" customHeight="true" outlineLevel="0" collapsed="false">
      <c r="A51" s="6"/>
      <c r="B51" s="7" t="s">
        <v>657</v>
      </c>
      <c r="C51" s="7" t="s">
        <v>629</v>
      </c>
      <c r="D51" s="10" t="n">
        <f aca="false">D50/(Invoer!D74*1852)</f>
        <v>1.82014497516761</v>
      </c>
      <c r="E51" s="10"/>
      <c r="F51" s="10"/>
      <c r="G51" s="7"/>
      <c r="H51" s="7" t="s">
        <v>658</v>
      </c>
    </row>
    <row r="52" customFormat="false" ht="30.75" hidden="false" customHeight="true" outlineLevel="0" collapsed="false">
      <c r="A52" s="6"/>
      <c r="B52" s="7" t="s">
        <v>659</v>
      </c>
      <c r="C52" s="7" t="s">
        <v>78</v>
      </c>
      <c r="D52" s="10" t="n">
        <f aca="false">D45/Invoer!D61</f>
        <v>2.0059880239521</v>
      </c>
      <c r="E52" s="10"/>
      <c r="F52" s="10"/>
      <c r="G52" s="7"/>
      <c r="H52" s="7" t="s">
        <v>660</v>
      </c>
    </row>
    <row r="53" customFormat="false" ht="30.75" hidden="false" customHeight="true" outlineLevel="0" collapsed="false">
      <c r="A53" s="6"/>
      <c r="B53" s="7" t="s">
        <v>661</v>
      </c>
      <c r="C53" s="7" t="s">
        <v>23</v>
      </c>
      <c r="D53" s="10" t="n">
        <f aca="false">D45-D27</f>
        <v>-31.4</v>
      </c>
      <c r="E53" s="10"/>
      <c r="F53" s="10"/>
      <c r="G53" s="7"/>
      <c r="H53" s="7" t="s">
        <v>662</v>
      </c>
    </row>
    <row r="54" customFormat="false" ht="45.75" hidden="false" customHeight="true" outlineLevel="0" collapsed="false">
      <c r="A54" s="6"/>
      <c r="B54" s="7" t="s">
        <v>663</v>
      </c>
      <c r="C54" s="7" t="s">
        <v>78</v>
      </c>
      <c r="D54" s="15" t="str">
        <f aca="false">IF(D53&gt;=0,"BINNEN EERDER CRITERIUM","KEUZE 2,0 LOA ONDERBOUWEN")</f>
        <v>KEUZE 2,0 LOA ONDERBOUWEN</v>
      </c>
      <c r="E54" s="15"/>
      <c r="F54" s="15"/>
      <c r="G54" s="7"/>
      <c r="H54" s="7" t="s">
        <v>664</v>
      </c>
    </row>
    <row r="55" customFormat="false" ht="30.75" hidden="false" customHeight="true" outlineLevel="0" collapsed="false">
      <c r="A55" s="6"/>
      <c r="B55" s="7"/>
      <c r="C55" s="7"/>
      <c r="D55" s="10"/>
      <c r="E55" s="10"/>
      <c r="F55" s="10"/>
      <c r="G55" s="7"/>
      <c r="H55" s="7"/>
    </row>
    <row r="56" customFormat="false" ht="24.75" hidden="false" customHeight="true" outlineLevel="0" collapsed="false">
      <c r="A56" s="12" t="s">
        <v>665</v>
      </c>
      <c r="B56" s="13"/>
      <c r="C56" s="13"/>
      <c r="D56" s="14"/>
      <c r="E56" s="14"/>
      <c r="F56" s="14"/>
      <c r="G56" s="13"/>
      <c r="H56" s="13"/>
    </row>
    <row r="57" customFormat="false" ht="31.5" hidden="false" customHeight="true" outlineLevel="0" collapsed="false">
      <c r="A57" s="5" t="s">
        <v>3</v>
      </c>
      <c r="B57" s="5" t="s">
        <v>666</v>
      </c>
      <c r="C57" s="5" t="s">
        <v>667</v>
      </c>
      <c r="D57" s="16" t="s">
        <v>668</v>
      </c>
      <c r="E57" s="16" t="s">
        <v>669</v>
      </c>
      <c r="F57" s="16" t="s">
        <v>670</v>
      </c>
      <c r="G57" s="5" t="s">
        <v>671</v>
      </c>
      <c r="H57" s="5" t="s">
        <v>672</v>
      </c>
    </row>
    <row r="58" customFormat="false" ht="42.75" hidden="false" customHeight="true" outlineLevel="0" collapsed="false">
      <c r="A58" s="6" t="s">
        <v>673</v>
      </c>
      <c r="B58" s="7" t="s">
        <v>674</v>
      </c>
      <c r="C58" s="38" t="n">
        <f aca="false">Invoer!D63</f>
        <v>14.5</v>
      </c>
      <c r="D58" s="11" t="n">
        <f aca="false">Invoer!D101</f>
        <v>18.2</v>
      </c>
      <c r="E58" s="11" t="n">
        <f aca="false">C58+SUM(Invoer!D64,Invoer!D65,Invoer!D66,Invoer!D67,Invoer!D68,Invoer!D69,Invoer!D70)</f>
        <v>18.2</v>
      </c>
      <c r="F58" s="11" t="n">
        <f aca="false">D58-E58</f>
        <v>0</v>
      </c>
      <c r="G58" s="7" t="str">
        <f aca="false">IF(F58&gt;=-0.000001,"VOLDOET MODEL","DIEPTETEKORT")</f>
        <v>VOLDOET MODEL</v>
      </c>
      <c r="H58" s="7" t="s">
        <v>675</v>
      </c>
    </row>
    <row r="59" customFormat="false" ht="42.75" hidden="false" customHeight="true" outlineLevel="0" collapsed="false">
      <c r="A59" s="6" t="s">
        <v>676</v>
      </c>
      <c r="B59" s="7" t="s">
        <v>677</v>
      </c>
      <c r="C59" s="38" t="n">
        <f aca="false">Invoer!D106</f>
        <v>14.45</v>
      </c>
      <c r="D59" s="11" t="n">
        <f aca="false">Invoer!D101</f>
        <v>18.2</v>
      </c>
      <c r="E59" s="11" t="n">
        <f aca="false">C59+SUM(Invoer!D64,Invoer!D65,Invoer!D66,Invoer!D67,Invoer!D68,Invoer!D69,Invoer!D70)</f>
        <v>18.15</v>
      </c>
      <c r="F59" s="11" t="n">
        <f aca="false">D59-E59</f>
        <v>0.0500000000000007</v>
      </c>
      <c r="G59" s="7" t="str">
        <f aca="false">IF(F59&gt;=-0.000001,"VOLDOET MODEL","DIEPTETEKORT")</f>
        <v>VOLDOET MODEL</v>
      </c>
      <c r="H59" s="7" t="s">
        <v>675</v>
      </c>
    </row>
    <row r="60" customFormat="false" ht="42.75" hidden="false" customHeight="true" outlineLevel="0" collapsed="false">
      <c r="A60" s="6" t="s">
        <v>678</v>
      </c>
      <c r="B60" s="7" t="s">
        <v>679</v>
      </c>
      <c r="C60" s="38" t="n">
        <f aca="false">Invoer!D104</f>
        <v>12.5</v>
      </c>
      <c r="D60" s="11" t="n">
        <f aca="false">Invoer!D102</f>
        <v>16.2</v>
      </c>
      <c r="E60" s="11" t="n">
        <f aca="false">C60+SUM(Invoer!D64,Invoer!D65,Invoer!D66,Invoer!D67,Invoer!D68,Invoer!D69,Invoer!D70)</f>
        <v>16.2</v>
      </c>
      <c r="F60" s="11" t="n">
        <f aca="false">D60-E60</f>
        <v>0</v>
      </c>
      <c r="G60" s="7" t="str">
        <f aca="false">IF(F60&gt;=-0.000001,"VOLDOET MODEL","DIEPTETEKORT")</f>
        <v>VOLDOET MODEL</v>
      </c>
      <c r="H60" s="7" t="s">
        <v>675</v>
      </c>
    </row>
    <row r="61" customFormat="false" ht="42.75" hidden="false" customHeight="true" outlineLevel="0" collapsed="false">
      <c r="A61" s="6" t="s">
        <v>680</v>
      </c>
      <c r="B61" s="7" t="s">
        <v>681</v>
      </c>
      <c r="C61" s="38" t="n">
        <f aca="false">Invoer!D105</f>
        <v>10</v>
      </c>
      <c r="D61" s="11" t="n">
        <f aca="false">Invoer!D103</f>
        <v>13.7</v>
      </c>
      <c r="E61" s="11" t="n">
        <f aca="false">C61+SUM(Invoer!D64,Invoer!D65,Invoer!D66,Invoer!D67,Invoer!D68,Invoer!D69,Invoer!D70)</f>
        <v>13.7</v>
      </c>
      <c r="F61" s="11" t="n">
        <f aca="false">D61-E61</f>
        <v>0</v>
      </c>
      <c r="G61" s="7" t="str">
        <f aca="false">IF(F61&gt;=-0.000001,"VOLDOET MODEL","DIEPTETEKORT")</f>
        <v>VOLDOET MODEL</v>
      </c>
      <c r="H61" s="7" t="s">
        <v>675</v>
      </c>
    </row>
    <row r="62" customFormat="false" ht="30.75" hidden="false" customHeight="true" outlineLevel="0" collapsed="false">
      <c r="A62" s="6"/>
      <c r="B62" s="7"/>
      <c r="C62" s="7"/>
      <c r="D62" s="10"/>
      <c r="E62" s="10"/>
      <c r="F62" s="10"/>
      <c r="G62" s="7"/>
      <c r="H62" s="7"/>
    </row>
    <row r="63" customFormat="false" ht="30.75" hidden="false" customHeight="true" outlineLevel="0" collapsed="false">
      <c r="A63" s="6"/>
      <c r="B63" s="7"/>
      <c r="C63" s="7"/>
      <c r="D63" s="10"/>
      <c r="E63" s="10"/>
      <c r="F63" s="10"/>
      <c r="G63" s="7"/>
      <c r="H63" s="7"/>
    </row>
    <row r="64" customFormat="false" ht="30.75" hidden="false" customHeight="true" outlineLevel="0" collapsed="false">
      <c r="A64" s="6"/>
      <c r="B64" s="7"/>
      <c r="C64" s="7"/>
      <c r="D64" s="10"/>
      <c r="E64" s="10"/>
      <c r="F64" s="10"/>
      <c r="G64" s="7"/>
      <c r="H64" s="7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</row>
  </sheetData>
  <conditionalFormatting sqref="D53">
    <cfRule type="cellIs" priority="2" operator="lessThan" aboveAverage="0" equalAverage="0" bottom="0" percent="0" rank="0" text="" dxfId="1">
      <formula>0</formula>
    </cfRule>
  </conditionalFormatting>
  <conditionalFormatting sqref="F58:F61"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9"/>
    <col collapsed="false" customWidth="true" hidden="false" outlineLevel="0" max="3" min="3" style="0" width="18"/>
    <col collapsed="false" customWidth="true" hidden="false" outlineLevel="0" max="6" min="4" style="0" width="17"/>
    <col collapsed="false" customWidth="true" hidden="false" outlineLevel="0" max="7" min="7" style="0" width="24"/>
    <col collapsed="false" customWidth="true" hidden="false" outlineLevel="0" max="8" min="8" style="0" width="6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8.55" hidden="false" customHeight="false" outlineLevel="0" collapsed="false">
      <c r="A2" s="2" t="s">
        <v>682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 t="s">
        <v>1</v>
      </c>
      <c r="C3" s="3"/>
      <c r="D3" s="4" t="n">
        <f aca="false">Invoer!$D$3</f>
        <v>3</v>
      </c>
      <c r="E3" s="3"/>
      <c r="F3" s="3"/>
      <c r="G3" s="3"/>
      <c r="H3" s="3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27" hidden="false" customHeight="true" outlineLevel="0" collapsed="false">
      <c r="A5" s="5" t="s">
        <v>3</v>
      </c>
      <c r="B5" s="5" t="s">
        <v>683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114</v>
      </c>
      <c r="H5" s="5" t="s">
        <v>672</v>
      </c>
    </row>
    <row r="6" customFormat="false" ht="27" hidden="false" customHeight="true" outlineLevel="0" collapsed="false">
      <c r="A6" s="6" t="s">
        <v>684</v>
      </c>
      <c r="B6" s="7" t="s">
        <v>685</v>
      </c>
      <c r="C6" s="7" t="s">
        <v>686</v>
      </c>
      <c r="D6" s="39" t="n">
        <f aca="false">(Invoer!D13+2)/(Invoer!D13+1)</f>
        <v>1.45454545454545</v>
      </c>
      <c r="E6" s="39" t="n">
        <f aca="false">(Invoer!E13+2)/(Invoer!E13+1)</f>
        <v>1.45454545454545</v>
      </c>
      <c r="F6" s="39" t="n">
        <f aca="false">(Invoer!F13+2)/(Invoer!F13+1)</f>
        <v>1.45454545454545</v>
      </c>
      <c r="G6" s="6"/>
      <c r="H6" s="7" t="s">
        <v>687</v>
      </c>
    </row>
    <row r="7" customFormat="false" ht="27" hidden="false" customHeight="true" outlineLevel="0" collapsed="false">
      <c r="A7" s="6" t="s">
        <v>688</v>
      </c>
      <c r="B7" s="7" t="s">
        <v>689</v>
      </c>
      <c r="C7" s="7" t="s">
        <v>690</v>
      </c>
      <c r="D7" s="10" t="n">
        <f aca="false">Invoer!D6/D6</f>
        <v>825000</v>
      </c>
      <c r="E7" s="10" t="n">
        <f aca="false">Invoer!E6/E6</f>
        <v>1375000</v>
      </c>
      <c r="F7" s="10" t="n">
        <f aca="false">Invoer!F6/F6</f>
        <v>2750000</v>
      </c>
      <c r="G7" s="6"/>
      <c r="H7" s="7" t="s">
        <v>691</v>
      </c>
    </row>
    <row r="8" customFormat="false" ht="27" hidden="false" customHeight="true" outlineLevel="0" collapsed="false">
      <c r="A8" s="6" t="s">
        <v>692</v>
      </c>
      <c r="B8" s="7" t="s">
        <v>693</v>
      </c>
      <c r="C8" s="7" t="s">
        <v>43</v>
      </c>
      <c r="D8" s="10" t="n">
        <f aca="false">Invoer!D6/Invoer!D14</f>
        <v>266.666666666667</v>
      </c>
      <c r="E8" s="10" t="n">
        <f aca="false">Invoer!E6/Invoer!E14</f>
        <v>444.444444444444</v>
      </c>
      <c r="F8" s="10" t="n">
        <f aca="false">Invoer!F6/Invoer!F14</f>
        <v>888.888888888889</v>
      </c>
      <c r="G8" s="6"/>
      <c r="H8" s="7" t="s">
        <v>694</v>
      </c>
    </row>
    <row r="9" customFormat="false" ht="27" hidden="false" customHeight="true" outlineLevel="0" collapsed="false">
      <c r="A9" s="6" t="s">
        <v>695</v>
      </c>
      <c r="B9" s="7" t="s">
        <v>696</v>
      </c>
      <c r="C9" s="7" t="s">
        <v>43</v>
      </c>
      <c r="D9" s="8" t="n">
        <f aca="false">ROUNDUP(D8,0)</f>
        <v>267</v>
      </c>
      <c r="E9" s="8" t="n">
        <f aca="false">ROUNDUP(E8,0)</f>
        <v>445</v>
      </c>
      <c r="F9" s="8" t="n">
        <f aca="false">ROUNDUP(F8,0)</f>
        <v>889</v>
      </c>
      <c r="G9" s="6"/>
      <c r="H9" s="7" t="s">
        <v>697</v>
      </c>
    </row>
    <row r="10" customFormat="false" ht="27" hidden="false" customHeight="true" outlineLevel="0" collapsed="false">
      <c r="A10" s="6" t="s">
        <v>698</v>
      </c>
      <c r="B10" s="7" t="s">
        <v>699</v>
      </c>
      <c r="C10" s="7" t="s">
        <v>700</v>
      </c>
      <c r="D10" s="10" t="n">
        <f aca="false">Invoer!D14/D6</f>
        <v>3093.75</v>
      </c>
      <c r="E10" s="10" t="n">
        <f aca="false">Invoer!E14/E6</f>
        <v>3093.75</v>
      </c>
      <c r="F10" s="10" t="n">
        <f aca="false">Invoer!F14/F6</f>
        <v>3093.75</v>
      </c>
      <c r="G10" s="6"/>
      <c r="H10" s="7" t="s">
        <v>701</v>
      </c>
    </row>
    <row r="11" customFormat="false" ht="27" hidden="false" customHeight="true" outlineLevel="0" collapsed="false">
      <c r="A11" s="6" t="s">
        <v>702</v>
      </c>
      <c r="B11" s="7" t="s">
        <v>703</v>
      </c>
      <c r="C11" s="7" t="s">
        <v>704</v>
      </c>
      <c r="D11" s="10" t="n">
        <f aca="false">Invoer!D15*Invoer!D16</f>
        <v>90</v>
      </c>
      <c r="E11" s="10" t="n">
        <f aca="false">Invoer!E15*Invoer!E16</f>
        <v>120</v>
      </c>
      <c r="F11" s="10" t="n">
        <f aca="false">Invoer!F15*Invoer!F16</f>
        <v>150</v>
      </c>
      <c r="G11" s="6"/>
      <c r="H11" s="7" t="s">
        <v>705</v>
      </c>
    </row>
    <row r="12" customFormat="false" ht="27" hidden="false" customHeight="true" outlineLevel="0" collapsed="false">
      <c r="A12" s="6" t="s">
        <v>706</v>
      </c>
      <c r="B12" s="7" t="s">
        <v>707</v>
      </c>
      <c r="C12" s="7" t="s">
        <v>160</v>
      </c>
      <c r="D12" s="10" t="n">
        <f aca="false">D10/D11+Invoer!D17</f>
        <v>37.375</v>
      </c>
      <c r="E12" s="10" t="n">
        <f aca="false">E10/E11+Invoer!E17</f>
        <v>28.78125</v>
      </c>
      <c r="F12" s="10" t="n">
        <f aca="false">F10/F11+Invoer!F17</f>
        <v>23.625</v>
      </c>
      <c r="G12" s="6"/>
      <c r="H12" s="7" t="s">
        <v>708</v>
      </c>
    </row>
    <row r="13" customFormat="false" ht="27" hidden="false" customHeight="true" outlineLevel="0" collapsed="false">
      <c r="A13" s="6" t="s">
        <v>709</v>
      </c>
      <c r="B13" s="7" t="s">
        <v>710</v>
      </c>
      <c r="C13" s="7" t="s">
        <v>711</v>
      </c>
      <c r="D13" s="10" t="n">
        <f aca="false">D9*D12</f>
        <v>9979.125</v>
      </c>
      <c r="E13" s="10" t="n">
        <f aca="false">E9*E12</f>
        <v>12807.65625</v>
      </c>
      <c r="F13" s="10" t="n">
        <f aca="false">F9*F12</f>
        <v>21002.625</v>
      </c>
      <c r="G13" s="6"/>
      <c r="H13" s="7" t="s">
        <v>712</v>
      </c>
    </row>
    <row r="14" customFormat="false" ht="27" hidden="false" customHeight="true" outlineLevel="0" collapsed="false">
      <c r="A14" s="6" t="s">
        <v>713</v>
      </c>
      <c r="B14" s="7" t="s">
        <v>714</v>
      </c>
      <c r="C14" s="7" t="s">
        <v>711</v>
      </c>
      <c r="D14" s="10" t="n">
        <f aca="false">Invoer!D10*24*Invoer!D11</f>
        <v>8322</v>
      </c>
      <c r="E14" s="10" t="n">
        <f aca="false">Invoer!E10*24*Invoer!E11</f>
        <v>8322</v>
      </c>
      <c r="F14" s="10" t="n">
        <f aca="false">Invoer!F10*24*Invoer!F11</f>
        <v>8322</v>
      </c>
      <c r="G14" s="6"/>
      <c r="H14" s="7" t="s">
        <v>715</v>
      </c>
    </row>
    <row r="15" customFormat="false" ht="27" hidden="false" customHeight="true" outlineLevel="0" collapsed="false">
      <c r="A15" s="6" t="s">
        <v>716</v>
      </c>
      <c r="B15" s="7" t="s">
        <v>717</v>
      </c>
      <c r="C15" s="7" t="s">
        <v>12</v>
      </c>
      <c r="D15" s="8" t="n">
        <f aca="false">ROUNDUP(D13/(D14*Invoer!D12),0)</f>
        <v>2</v>
      </c>
      <c r="E15" s="8" t="n">
        <f aca="false">ROUNDUP(E13/(E14*Invoer!E12),0)</f>
        <v>3</v>
      </c>
      <c r="F15" s="8" t="n">
        <f aca="false">ROUNDUP(F13/(F14*Invoer!F12),0)</f>
        <v>4</v>
      </c>
      <c r="G15" s="6"/>
      <c r="H15" s="7" t="s">
        <v>718</v>
      </c>
    </row>
    <row r="16" customFormat="false" ht="27" hidden="false" customHeight="true" outlineLevel="0" collapsed="false">
      <c r="A16" s="6" t="s">
        <v>719</v>
      </c>
      <c r="B16" s="7" t="s">
        <v>163</v>
      </c>
      <c r="C16" s="7" t="s">
        <v>12</v>
      </c>
      <c r="D16" s="8" t="n">
        <f aca="false">Invoer!D18</f>
        <v>2</v>
      </c>
      <c r="E16" s="8" t="n">
        <f aca="false">Invoer!E18</f>
        <v>3</v>
      </c>
      <c r="F16" s="8" t="n">
        <f aca="false">Invoer!F18</f>
        <v>4</v>
      </c>
      <c r="G16" s="6"/>
      <c r="H16" s="7" t="s">
        <v>720</v>
      </c>
    </row>
    <row r="17" customFormat="false" ht="27" hidden="false" customHeight="true" outlineLevel="0" collapsed="false">
      <c r="A17" s="6" t="s">
        <v>721</v>
      </c>
      <c r="B17" s="7" t="s">
        <v>722</v>
      </c>
      <c r="C17" s="7" t="s">
        <v>19</v>
      </c>
      <c r="D17" s="9" t="n">
        <f aca="false">D13/(D14*D16)</f>
        <v>0.59956290555155</v>
      </c>
      <c r="E17" s="9" t="n">
        <f aca="false">E13/(E14*E16)</f>
        <v>0.513003935352079</v>
      </c>
      <c r="F17" s="9" t="n">
        <f aca="false">F13/(F14*F16)</f>
        <v>0.63093682408075</v>
      </c>
      <c r="G17" s="6"/>
      <c r="H17" s="7" t="s">
        <v>723</v>
      </c>
    </row>
    <row r="18" customFormat="false" ht="27" hidden="false" customHeight="true" outlineLevel="0" collapsed="false">
      <c r="A18" s="6" t="s">
        <v>724</v>
      </c>
      <c r="B18" s="7" t="s">
        <v>725</v>
      </c>
      <c r="C18" s="7" t="s">
        <v>23</v>
      </c>
      <c r="D18" s="8" t="n">
        <f aca="false">D16*Invoer!D19</f>
        <v>802.192182014012</v>
      </c>
      <c r="E18" s="8" t="n">
        <f aca="false">E16*Invoer!E19</f>
        <v>1203.28827302102</v>
      </c>
      <c r="F18" s="8" t="n">
        <f aca="false">F16*Invoer!F19</f>
        <v>1604.38436402802</v>
      </c>
      <c r="G18" s="6"/>
      <c r="H18" s="7" t="s">
        <v>726</v>
      </c>
    </row>
    <row r="19" customFormat="false" ht="27" hidden="false" customHeight="true" outlineLevel="0" collapsed="false">
      <c r="A19" s="6" t="s">
        <v>727</v>
      </c>
      <c r="B19" s="7" t="s">
        <v>728</v>
      </c>
      <c r="C19" s="7" t="s">
        <v>12</v>
      </c>
      <c r="D19" s="8" t="n">
        <f aca="false">D16*Invoer!D15</f>
        <v>6</v>
      </c>
      <c r="E19" s="8" t="n">
        <f aca="false">E16*Invoer!E15</f>
        <v>12</v>
      </c>
      <c r="F19" s="8" t="n">
        <f aca="false">F16*Invoer!F15</f>
        <v>20</v>
      </c>
      <c r="G19" s="6"/>
      <c r="H19" s="7" t="s">
        <v>729</v>
      </c>
    </row>
    <row r="20" customFormat="false" ht="27" hidden="false" customHeight="true" outlineLevel="0" collapsed="false">
      <c r="A20" s="6" t="s">
        <v>730</v>
      </c>
      <c r="B20" s="7" t="s">
        <v>731</v>
      </c>
      <c r="C20" s="7" t="s">
        <v>179</v>
      </c>
      <c r="D20" s="10" t="n">
        <f aca="false">Invoer!D21*Invoer!D24+Invoer!D22*Invoer!D25+Invoer!D23*Invoer!D26</f>
        <v>6.2</v>
      </c>
      <c r="E20" s="10" t="n">
        <f aca="false">Invoer!E21*Invoer!E24+Invoer!E22*Invoer!E25+Invoer!E23*Invoer!E26</f>
        <v>6.2</v>
      </c>
      <c r="F20" s="10" t="n">
        <f aca="false">Invoer!F21*Invoer!F24+Invoer!F22*Invoer!F25+Invoer!F23*Invoer!F26</f>
        <v>6.2</v>
      </c>
      <c r="G20" s="6"/>
      <c r="H20" s="7" t="s">
        <v>732</v>
      </c>
    </row>
    <row r="21" customFormat="false" ht="27" hidden="false" customHeight="true" outlineLevel="0" collapsed="false">
      <c r="A21" s="6" t="s">
        <v>733</v>
      </c>
      <c r="B21" s="7" t="s">
        <v>734</v>
      </c>
      <c r="C21" s="7" t="s">
        <v>74</v>
      </c>
      <c r="D21" s="10" t="n">
        <f aca="false">Invoer!D6*Invoer!D21*Invoer!D24/Invoer!D10*Invoer!D27</f>
        <v>12328.7671232877</v>
      </c>
      <c r="E21" s="10" t="n">
        <f aca="false">Invoer!E6*Invoer!E21*Invoer!E24/Invoer!E10*Invoer!E27</f>
        <v>20547.9452054795</v>
      </c>
      <c r="F21" s="10" t="n">
        <f aca="false">Invoer!F6*Invoer!F21*Invoer!F24/Invoer!F10*Invoer!F27</f>
        <v>41095.8904109589</v>
      </c>
      <c r="G21" s="6"/>
      <c r="H21" s="7" t="s">
        <v>735</v>
      </c>
    </row>
    <row r="22" customFormat="false" ht="27" hidden="false" customHeight="true" outlineLevel="0" collapsed="false">
      <c r="A22" s="6" t="s">
        <v>736</v>
      </c>
      <c r="B22" s="7" t="s">
        <v>737</v>
      </c>
      <c r="C22" s="7" t="s">
        <v>74</v>
      </c>
      <c r="D22" s="10" t="n">
        <f aca="false">Invoer!D6*Invoer!D22*Invoer!D25/Invoer!D10*Invoer!D27</f>
        <v>4931.50684931507</v>
      </c>
      <c r="E22" s="10" t="n">
        <f aca="false">Invoer!E6*Invoer!E22*Invoer!E25/Invoer!E10*Invoer!E27</f>
        <v>8219.17808219178</v>
      </c>
      <c r="F22" s="10" t="n">
        <f aca="false">Invoer!F6*Invoer!F22*Invoer!F25/Invoer!F10*Invoer!F27</f>
        <v>16438.3561643836</v>
      </c>
      <c r="G22" s="6"/>
      <c r="H22" s="7"/>
    </row>
    <row r="23" customFormat="false" ht="27" hidden="false" customHeight="true" outlineLevel="0" collapsed="false">
      <c r="A23" s="6" t="s">
        <v>738</v>
      </c>
      <c r="B23" s="7" t="s">
        <v>739</v>
      </c>
      <c r="C23" s="7" t="s">
        <v>74</v>
      </c>
      <c r="D23" s="10" t="n">
        <f aca="false">Invoer!D6*Invoer!D23*Invoer!D26/Invoer!D10*Invoer!D27</f>
        <v>8219.17808219178</v>
      </c>
      <c r="E23" s="10" t="n">
        <f aca="false">Invoer!E6*Invoer!E23*Invoer!E26/Invoer!E10*Invoer!E27</f>
        <v>13698.6301369863</v>
      </c>
      <c r="F23" s="10" t="n">
        <f aca="false">Invoer!F6*Invoer!F23*Invoer!F26/Invoer!F10*Invoer!F27</f>
        <v>27397.2602739726</v>
      </c>
      <c r="G23" s="6"/>
      <c r="H23" s="7"/>
    </row>
    <row r="24" customFormat="false" ht="27" hidden="false" customHeight="true" outlineLevel="0" collapsed="false">
      <c r="A24" s="6" t="s">
        <v>740</v>
      </c>
      <c r="B24" s="7" t="s">
        <v>741</v>
      </c>
      <c r="C24" s="7" t="s">
        <v>74</v>
      </c>
      <c r="D24" s="8" t="n">
        <f aca="false">SUM(D21:D23)</f>
        <v>25479.4520547945</v>
      </c>
      <c r="E24" s="8" t="n">
        <f aca="false">SUM(E21:E23)</f>
        <v>42465.7534246575</v>
      </c>
      <c r="F24" s="8" t="n">
        <f aca="false">SUM(F21:F23)</f>
        <v>84931.5068493151</v>
      </c>
      <c r="G24" s="6"/>
      <c r="H24" s="7" t="s">
        <v>742</v>
      </c>
    </row>
    <row r="25" customFormat="false" ht="27" hidden="false" customHeight="true" outlineLevel="0" collapsed="false">
      <c r="A25" s="6" t="s">
        <v>743</v>
      </c>
      <c r="B25" s="7" t="s">
        <v>744</v>
      </c>
      <c r="C25" s="7" t="s">
        <v>469</v>
      </c>
      <c r="D25" s="8" t="n">
        <f aca="false">D24/(Invoer!D28*Invoer!D29)</f>
        <v>12133.072407045</v>
      </c>
      <c r="E25" s="8" t="n">
        <f aca="false">E24/(Invoer!E28*Invoer!E29)</f>
        <v>20221.787345075</v>
      </c>
      <c r="F25" s="8" t="n">
        <f aca="false">F24/(Invoer!F28*Invoer!F29)</f>
        <v>40443.57469015</v>
      </c>
      <c r="G25" s="6"/>
      <c r="H25" s="7" t="s">
        <v>745</v>
      </c>
    </row>
    <row r="26" customFormat="false" ht="27" hidden="false" customHeight="true" outlineLevel="0" collapsed="false">
      <c r="A26" s="6" t="s">
        <v>746</v>
      </c>
      <c r="B26" s="7" t="s">
        <v>747</v>
      </c>
      <c r="C26" s="7" t="s">
        <v>30</v>
      </c>
      <c r="D26" s="10" t="n">
        <f aca="false">D25*Invoer!D30/10000</f>
        <v>33.972602739726</v>
      </c>
      <c r="E26" s="10" t="n">
        <f aca="false">E25*Invoer!E30/10000</f>
        <v>56.6210045662101</v>
      </c>
      <c r="F26" s="10" t="n">
        <f aca="false">F25*Invoer!F30/10000</f>
        <v>113.24200913242</v>
      </c>
      <c r="G26" s="6"/>
      <c r="H26" s="7" t="s">
        <v>748</v>
      </c>
    </row>
    <row r="27" customFormat="false" ht="27" hidden="false" customHeight="true" outlineLevel="0" collapsed="false">
      <c r="A27" s="6" t="s">
        <v>749</v>
      </c>
      <c r="B27" s="7" t="s">
        <v>750</v>
      </c>
      <c r="C27" s="7" t="s">
        <v>30</v>
      </c>
      <c r="D27" s="10" t="n">
        <f aca="false">D26*Invoer!D31</f>
        <v>40.7671232876712</v>
      </c>
      <c r="E27" s="10" t="n">
        <f aca="false">E26*Invoer!E31</f>
        <v>67.9452054794521</v>
      </c>
      <c r="F27" s="10" t="n">
        <f aca="false">F26*Invoer!F31</f>
        <v>135.890410958904</v>
      </c>
      <c r="G27" s="6"/>
      <c r="H27" s="7" t="s">
        <v>751</v>
      </c>
    </row>
    <row r="28" customFormat="false" ht="27" hidden="false" customHeight="true" outlineLevel="0" collapsed="false">
      <c r="A28" s="6" t="s">
        <v>752</v>
      </c>
      <c r="B28" s="7" t="s">
        <v>753</v>
      </c>
      <c r="C28" s="7" t="s">
        <v>30</v>
      </c>
      <c r="D28" s="10" t="n">
        <f aca="false">Invoer!D20</f>
        <v>72.0013758749795</v>
      </c>
      <c r="E28" s="10" t="n">
        <f aca="false">Invoer!E20</f>
        <v>108.002063812585</v>
      </c>
      <c r="F28" s="10" t="n">
        <f aca="false">Invoer!F20</f>
        <v>144.002751750007</v>
      </c>
      <c r="G28" s="6"/>
      <c r="H28" s="7" t="s">
        <v>754</v>
      </c>
    </row>
    <row r="29" customFormat="false" ht="27" hidden="false" customHeight="true" outlineLevel="0" collapsed="false">
      <c r="A29" s="6" t="s">
        <v>755</v>
      </c>
      <c r="B29" s="7" t="s">
        <v>756</v>
      </c>
      <c r="C29" s="7" t="s">
        <v>30</v>
      </c>
      <c r="D29" s="10" t="n">
        <f aca="false">D28-D27</f>
        <v>31.2342525873083</v>
      </c>
      <c r="E29" s="10" t="n">
        <f aca="false">E28-E27</f>
        <v>40.0568583331334</v>
      </c>
      <c r="F29" s="10" t="n">
        <f aca="false">F28-F27</f>
        <v>8.11234079110318</v>
      </c>
      <c r="G29" s="6"/>
      <c r="H29" s="7" t="s">
        <v>757</v>
      </c>
    </row>
    <row r="30" customFormat="false" ht="27" hidden="false" customHeight="true" outlineLevel="0" collapsed="false">
      <c r="A30" s="6" t="s">
        <v>758</v>
      </c>
      <c r="B30" s="7" t="s">
        <v>759</v>
      </c>
      <c r="C30" s="7" t="s">
        <v>78</v>
      </c>
      <c r="D30" s="10" t="str">
        <f aca="false">IF(D15&lt;=D16,"VOLDOET REKENKUNDIG","MEER CAPACITEIT NODIG")</f>
        <v>VOLDOET REKENKUNDIG</v>
      </c>
      <c r="E30" s="10" t="str">
        <f aca="false">IF(E15&lt;=E16,"VOLDOET REKENKUNDIG","MEER CAPACITEIT NODIG")</f>
        <v>VOLDOET REKENKUNDIG</v>
      </c>
      <c r="F30" s="10" t="str">
        <f aca="false">IF(F15&lt;=F16,"VOLDOET REKENKUNDIG","MEER CAPACITEIT NODIG")</f>
        <v>VOLDOET REKENKUNDIG</v>
      </c>
      <c r="G30" s="6"/>
      <c r="H30" s="7" t="s">
        <v>760</v>
      </c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</row>
    <row r="32" customFormat="false" ht="24.75" hidden="false" customHeight="true" outlineLevel="0" collapsed="false">
      <c r="A32" s="12" t="s">
        <v>761</v>
      </c>
      <c r="B32" s="13"/>
      <c r="C32" s="13"/>
      <c r="D32" s="14"/>
      <c r="E32" s="14"/>
      <c r="F32" s="14"/>
      <c r="G32" s="13"/>
      <c r="H32" s="13"/>
    </row>
    <row r="33" customFormat="false" ht="31.5" hidden="false" customHeight="true" outlineLevel="0" collapsed="false">
      <c r="A33" s="5" t="s">
        <v>3</v>
      </c>
      <c r="B33" s="5" t="s">
        <v>683</v>
      </c>
      <c r="C33" s="5" t="s">
        <v>5</v>
      </c>
      <c r="D33" s="16" t="s">
        <v>6</v>
      </c>
      <c r="E33" s="16" t="s">
        <v>7</v>
      </c>
      <c r="F33" s="16" t="s">
        <v>8</v>
      </c>
      <c r="G33" s="5" t="s">
        <v>114</v>
      </c>
      <c r="H33" s="5" t="s">
        <v>672</v>
      </c>
    </row>
    <row r="34" customFormat="false" ht="30.75" hidden="false" customHeight="true" outlineLevel="0" collapsed="false">
      <c r="A34" s="6" t="s">
        <v>762</v>
      </c>
      <c r="B34" s="7" t="s">
        <v>763</v>
      </c>
      <c r="C34" s="7" t="s">
        <v>196</v>
      </c>
      <c r="D34" s="40" t="n">
        <f aca="false">Invoer!D119</f>
        <v>325052.247366109</v>
      </c>
      <c r="E34" s="40" t="n">
        <f aca="false">Invoer!E119</f>
        <v>505578.371049395</v>
      </c>
      <c r="F34" s="40" t="n">
        <f aca="false">Invoer!F119</f>
        <v>653951.999999657</v>
      </c>
      <c r="G34" s="7"/>
      <c r="H34" s="7" t="s">
        <v>764</v>
      </c>
    </row>
    <row r="35" customFormat="false" ht="30.75" hidden="false" customHeight="true" outlineLevel="0" collapsed="false">
      <c r="A35" s="6" t="s">
        <v>765</v>
      </c>
      <c r="B35" s="7" t="s">
        <v>766</v>
      </c>
      <c r="C35" s="7" t="s">
        <v>196</v>
      </c>
      <c r="D35" s="40" t="n">
        <f aca="false">Invoer!D120</f>
        <v>21600.0000000459</v>
      </c>
      <c r="E35" s="40" t="n">
        <f aca="false">Invoer!E120</f>
        <v>21600.0000000459</v>
      </c>
      <c r="F35" s="40" t="n">
        <f aca="false">Invoer!F120</f>
        <v>21600.0000000459</v>
      </c>
      <c r="G35" s="7"/>
      <c r="H35" s="7" t="s">
        <v>767</v>
      </c>
    </row>
    <row r="36" customFormat="false" ht="30.75" hidden="false" customHeight="true" outlineLevel="0" collapsed="false">
      <c r="A36" s="6" t="s">
        <v>768</v>
      </c>
      <c r="B36" s="7" t="s">
        <v>465</v>
      </c>
      <c r="C36" s="7" t="s">
        <v>196</v>
      </c>
      <c r="D36" s="40" t="n">
        <f aca="false">Invoer!D121</f>
        <v>0</v>
      </c>
      <c r="E36" s="40" t="n">
        <f aca="false">Invoer!E121</f>
        <v>0</v>
      </c>
      <c r="F36" s="40" t="n">
        <f aca="false">Invoer!F121</f>
        <v>17567.9999999757</v>
      </c>
      <c r="G36" s="7"/>
      <c r="H36" s="7" t="s">
        <v>769</v>
      </c>
    </row>
    <row r="37" customFormat="false" ht="30.75" hidden="false" customHeight="true" outlineLevel="0" collapsed="false">
      <c r="A37" s="6" t="s">
        <v>770</v>
      </c>
      <c r="B37" s="7" t="s">
        <v>771</v>
      </c>
      <c r="C37" s="7" t="s">
        <v>196</v>
      </c>
      <c r="D37" s="40" t="n">
        <f aca="false">SUM(D34:D36)</f>
        <v>346652.247366154</v>
      </c>
      <c r="E37" s="40" t="n">
        <f aca="false">SUM(E34:E36)</f>
        <v>527178.371049441</v>
      </c>
      <c r="F37" s="40" t="n">
        <f aca="false">SUM(F34:F36)</f>
        <v>693119.999999679</v>
      </c>
      <c r="G37" s="7"/>
      <c r="H37" s="7" t="s">
        <v>772</v>
      </c>
    </row>
    <row r="38" customFormat="false" ht="30.75" hidden="false" customHeight="true" outlineLevel="0" collapsed="false">
      <c r="A38" s="6" t="s">
        <v>773</v>
      </c>
      <c r="B38" s="7" t="s">
        <v>774</v>
      </c>
      <c r="C38" s="7" t="s">
        <v>469</v>
      </c>
      <c r="D38" s="41" t="n">
        <f aca="false">IF(COUNT(Invoer!D122)=1,Invoer!D122,"n.a.")</f>
        <v>20284</v>
      </c>
      <c r="E38" s="41" t="n">
        <f aca="false">IF(COUNT(Invoer!E122)=1,Invoer!E122,"n.a.")</f>
        <v>30426</v>
      </c>
      <c r="F38" s="41" t="n">
        <f aca="false">IF(COUNT(Invoer!F122)=1,Invoer!F122,"n.a.")</f>
        <v>40558</v>
      </c>
      <c r="G38" s="7"/>
      <c r="H38" s="7" t="s">
        <v>775</v>
      </c>
    </row>
    <row r="39" customFormat="false" ht="30.75" hidden="false" customHeight="true" outlineLevel="0" collapsed="false">
      <c r="A39" s="6" t="s">
        <v>776</v>
      </c>
      <c r="B39" s="7" t="s">
        <v>777</v>
      </c>
      <c r="C39" s="7" t="s">
        <v>74</v>
      </c>
      <c r="D39" s="40" t="n">
        <f aca="false">IF(COUNT(D38)=1,D38*Invoer!D28*Invoer!D29,"n.a.")</f>
        <v>42596.4</v>
      </c>
      <c r="E39" s="40" t="n">
        <f aca="false">IF(COUNT(E38)=1,E38*Invoer!E28*Invoer!E29,"n.a.")</f>
        <v>63894.6</v>
      </c>
      <c r="F39" s="40" t="n">
        <f aca="false">IF(COUNT(F38)=1,F38*Invoer!F28*Invoer!F29,"n.a.")</f>
        <v>85171.8</v>
      </c>
      <c r="G39" s="7"/>
      <c r="H39" s="7" t="s">
        <v>778</v>
      </c>
    </row>
    <row r="40" customFormat="false" ht="30.75" hidden="false" customHeight="true" outlineLevel="0" collapsed="false">
      <c r="A40" s="6" t="s">
        <v>779</v>
      </c>
      <c r="B40" s="7" t="s">
        <v>780</v>
      </c>
      <c r="C40" s="7" t="s">
        <v>74</v>
      </c>
      <c r="D40" s="40" t="n">
        <f aca="false">IF(COUNT(D39)=1,D39-D24,"n.a.")</f>
        <v>17116.9479452055</v>
      </c>
      <c r="E40" s="40" t="n">
        <f aca="false">IF(COUNT(E39)=1,E39-E24,"n.a.")</f>
        <v>21428.8465753425</v>
      </c>
      <c r="F40" s="40" t="n">
        <f aca="false">IF(COUNT(F39)=1,F39-F24,"n.a.")</f>
        <v>240.293150684927</v>
      </c>
      <c r="G40" s="7"/>
      <c r="H40" s="7" t="s">
        <v>781</v>
      </c>
    </row>
    <row r="41" customFormat="false" ht="46.5" hidden="false" customHeight="true" outlineLevel="0" collapsed="false">
      <c r="A41" s="6" t="s">
        <v>782</v>
      </c>
      <c r="B41" s="7" t="s">
        <v>783</v>
      </c>
      <c r="C41" s="7" t="s">
        <v>78</v>
      </c>
      <c r="D41" s="42" t="str">
        <f aca="false">IF(COUNT(D40)=1,IF(D40&gt;=0,"VOLDOET REKENKUNDIG","OPSLAGTEKORT"),"GRONDSLOTS INVULLEN")</f>
        <v>VOLDOET REKENKUNDIG</v>
      </c>
      <c r="E41" s="42" t="str">
        <f aca="false">IF(COUNT(E40)=1,IF(E40&gt;=0,"VOLDOET REKENKUNDIG","OPSLAGTEKORT"),"GRONDSLOTS INVULLEN")</f>
        <v>VOLDOET REKENKUNDIG</v>
      </c>
      <c r="F41" s="42" t="str">
        <f aca="false">IF(COUNT(F40)=1,IF(F40&gt;=0,"VOLDOET REKENKUNDIG","OPSLAGTEKORT"),"GRONDSLOTS INVULLEN")</f>
        <v>VOLDOET REKENKUNDIG</v>
      </c>
      <c r="G41" s="7"/>
      <c r="H41" s="7" t="s">
        <v>784</v>
      </c>
    </row>
    <row r="42" customFormat="false" ht="30.75" hidden="false" customHeight="true" outlineLevel="0" collapsed="false">
      <c r="A42" s="6" t="s">
        <v>785</v>
      </c>
      <c r="B42" s="7" t="s">
        <v>786</v>
      </c>
      <c r="C42" s="7" t="s">
        <v>469</v>
      </c>
      <c r="D42" s="41" t="n">
        <f aca="false">ROUNDUP(D23/(Invoer!D28*Invoer!D29),0)</f>
        <v>3914</v>
      </c>
      <c r="E42" s="41" t="n">
        <f aca="false">ROUNDUP(E23/(Invoer!E28*Invoer!E29),0)</f>
        <v>6524</v>
      </c>
      <c r="F42" s="41" t="n">
        <f aca="false">ROUNDUP(F23/(Invoer!F28*Invoer!F29),0)</f>
        <v>13047</v>
      </c>
      <c r="G42" s="7"/>
      <c r="H42" s="7" t="s">
        <v>787</v>
      </c>
    </row>
    <row r="43" customFormat="false" ht="30.75" hidden="false" customHeight="true" outlineLevel="0" collapsed="false">
      <c r="A43" s="6" t="s">
        <v>788</v>
      </c>
      <c r="B43" s="7" t="s">
        <v>789</v>
      </c>
      <c r="C43" s="7" t="s">
        <v>469</v>
      </c>
      <c r="D43" s="41" t="str">
        <f aca="false">IF(COUNT(Invoer!D123)=1,Invoer!D123,"n.a.")</f>
        <v>n.a.</v>
      </c>
      <c r="E43" s="41" t="str">
        <f aca="false">IF(COUNT(Invoer!E123)=1,Invoer!E123,"n.a.")</f>
        <v>n.a.</v>
      </c>
      <c r="F43" s="41" t="str">
        <f aca="false">IF(COUNT(Invoer!F123)=1,Invoer!F123,"n.a.")</f>
        <v>n.a.</v>
      </c>
      <c r="G43" s="7"/>
      <c r="H43" s="7" t="s">
        <v>790</v>
      </c>
    </row>
    <row r="44" customFormat="false" ht="30.75" hidden="false" customHeight="true" outlineLevel="0" collapsed="false">
      <c r="A44" s="6" t="s">
        <v>791</v>
      </c>
      <c r="B44" s="7" t="s">
        <v>792</v>
      </c>
      <c r="C44" s="7" t="s">
        <v>74</v>
      </c>
      <c r="D44" s="40" t="str">
        <f aca="false">IF(COUNT(D43)=1,D43*Invoer!D28*Invoer!D29,"n.a.")</f>
        <v>n.a.</v>
      </c>
      <c r="E44" s="40" t="str">
        <f aca="false">IF(COUNT(E43)=1,E43*Invoer!E28*Invoer!E29,"n.a.")</f>
        <v>n.a.</v>
      </c>
      <c r="F44" s="40" t="str">
        <f aca="false">IF(COUNT(F43)=1,F43*Invoer!F28*Invoer!F29,"n.a.")</f>
        <v>n.a.</v>
      </c>
      <c r="G44" s="7"/>
      <c r="H44" s="7" t="s">
        <v>793</v>
      </c>
    </row>
    <row r="45" customFormat="false" ht="30.75" hidden="false" customHeight="true" outlineLevel="0" collapsed="false">
      <c r="A45" s="6" t="s">
        <v>794</v>
      </c>
      <c r="B45" s="7" t="s">
        <v>795</v>
      </c>
      <c r="C45" s="7" t="s">
        <v>74</v>
      </c>
      <c r="D45" s="40" t="str">
        <f aca="false">IF(COUNT(D44)=1,D44-D23,"n.a.")</f>
        <v>n.a.</v>
      </c>
      <c r="E45" s="40" t="str">
        <f aca="false">IF(COUNT(E44)=1,E44-E23,"n.a.")</f>
        <v>n.a.</v>
      </c>
      <c r="F45" s="40" t="str">
        <f aca="false">IF(COUNT(F44)=1,F44-F23,"n.a.")</f>
        <v>n.a.</v>
      </c>
      <c r="G45" s="7"/>
      <c r="H45" s="7" t="s">
        <v>796</v>
      </c>
    </row>
    <row r="46" customFormat="false" ht="30.75" hidden="false" customHeight="true" outlineLevel="0" collapsed="false">
      <c r="A46" s="6" t="s">
        <v>797</v>
      </c>
      <c r="B46" s="7" t="s">
        <v>798</v>
      </c>
      <c r="C46" s="7" t="s">
        <v>469</v>
      </c>
      <c r="D46" s="41" t="n">
        <f aca="false">ROUNDDOWN(D36/Invoer!D124,0)</f>
        <v>0</v>
      </c>
      <c r="E46" s="41" t="n">
        <f aca="false">ROUNDDOWN(E36/Invoer!E124,0)</f>
        <v>0</v>
      </c>
      <c r="F46" s="41" t="n">
        <f aca="false">ROUNDDOWN(F36/Invoer!F124,0)</f>
        <v>1187</v>
      </c>
      <c r="G46" s="7"/>
      <c r="H46" s="7" t="s">
        <v>799</v>
      </c>
    </row>
    <row r="47" customFormat="false" ht="30.75" hidden="false" customHeight="true" outlineLevel="0" collapsed="false">
      <c r="A47" s="6" t="s">
        <v>800</v>
      </c>
      <c r="B47" s="7" t="s">
        <v>801</v>
      </c>
      <c r="C47" s="7" t="s">
        <v>74</v>
      </c>
      <c r="D47" s="40" t="n">
        <f aca="false">D46*Invoer!D28*Invoer!D29</f>
        <v>0</v>
      </c>
      <c r="E47" s="40" t="n">
        <f aca="false">E46*Invoer!E28*Invoer!E29</f>
        <v>0</v>
      </c>
      <c r="F47" s="40" t="n">
        <f aca="false">F46*Invoer!F28*Invoer!F29</f>
        <v>2492.7</v>
      </c>
      <c r="G47" s="7"/>
      <c r="H47" s="7" t="s">
        <v>802</v>
      </c>
    </row>
    <row r="48" customFormat="false" ht="30.75" hidden="false" customHeight="true" outlineLevel="0" collapsed="false">
      <c r="A48" s="6" t="s">
        <v>803</v>
      </c>
      <c r="B48" s="7" t="s">
        <v>73</v>
      </c>
      <c r="C48" s="7" t="s">
        <v>74</v>
      </c>
      <c r="D48" s="40" t="n">
        <f aca="false">D47-D23</f>
        <v>-8219.17808219178</v>
      </c>
      <c r="E48" s="40" t="n">
        <f aca="false">E47-E23</f>
        <v>-13698.6301369863</v>
      </c>
      <c r="F48" s="40" t="n">
        <f aca="false">F47-F23</f>
        <v>-24904.5602739726</v>
      </c>
      <c r="G48" s="7"/>
      <c r="H48" s="7" t="s">
        <v>804</v>
      </c>
    </row>
    <row r="49" customFormat="false" ht="46.5" hidden="false" customHeight="true" outlineLevel="0" collapsed="false">
      <c r="A49" s="6" t="s">
        <v>805</v>
      </c>
      <c r="B49" s="7" t="s">
        <v>806</v>
      </c>
      <c r="C49" s="7" t="s">
        <v>78</v>
      </c>
      <c r="D49" s="42" t="str">
        <f aca="false">IF(D48&lt;0,"APARTE VAKKEN TE KLEIN","SLOTINDELING NOG TOETSEN")</f>
        <v>APARTE VAKKEN TE KLEIN</v>
      </c>
      <c r="E49" s="42" t="str">
        <f aca="false">IF(E48&lt;0,"APARTE VAKKEN TE KLEIN","SLOTINDELING NOG TOETSEN")</f>
        <v>APARTE VAKKEN TE KLEIN</v>
      </c>
      <c r="F49" s="42" t="str">
        <f aca="false">IF(F48&lt;0,"APARTE VAKKEN TE KLEIN","SLOTINDELING NOG TOETSEN")</f>
        <v>APARTE VAKKEN TE KLEIN</v>
      </c>
      <c r="G49" s="7"/>
      <c r="H49" s="7" t="s">
        <v>807</v>
      </c>
    </row>
    <row r="50" customFormat="false" ht="30.75" hidden="false" customHeight="true" outlineLevel="0" collapsed="false">
      <c r="A50" s="6" t="s">
        <v>808</v>
      </c>
      <c r="B50" s="7" t="s">
        <v>809</v>
      </c>
      <c r="C50" s="7" t="s">
        <v>30</v>
      </c>
      <c r="D50" s="40" t="n">
        <f aca="false">D42*Invoer!D30/10000</f>
        <v>10.9592</v>
      </c>
      <c r="E50" s="40" t="n">
        <f aca="false">E42*Invoer!E30/10000</f>
        <v>18.2672</v>
      </c>
      <c r="F50" s="40" t="n">
        <f aca="false">F42*Invoer!F30/10000</f>
        <v>36.5316</v>
      </c>
      <c r="G50" s="7"/>
      <c r="H50" s="7" t="s">
        <v>810</v>
      </c>
    </row>
    <row r="51" customFormat="false" ht="30.75" hidden="false" customHeight="true" outlineLevel="0" collapsed="false">
      <c r="A51" s="6"/>
      <c r="B51" s="7"/>
      <c r="C51" s="7"/>
      <c r="D51" s="10"/>
      <c r="E51" s="10"/>
      <c r="F51" s="10"/>
      <c r="G51" s="7"/>
      <c r="H51" s="7"/>
    </row>
    <row r="52" customFormat="false" ht="30.75" hidden="false" customHeight="true" outlineLevel="0" collapsed="false">
      <c r="A52" s="6"/>
      <c r="B52" s="7"/>
      <c r="C52" s="7"/>
      <c r="D52" s="10"/>
      <c r="E52" s="10"/>
      <c r="F52" s="10"/>
      <c r="G52" s="7"/>
      <c r="H52" s="7"/>
    </row>
    <row r="53" customFormat="false" ht="24.75" hidden="false" customHeight="true" outlineLevel="0" collapsed="false">
      <c r="A53" s="12" t="s">
        <v>811</v>
      </c>
      <c r="B53" s="13"/>
      <c r="C53" s="13"/>
      <c r="D53" s="14"/>
      <c r="E53" s="14"/>
      <c r="F53" s="14"/>
      <c r="G53" s="13"/>
      <c r="H53" s="13"/>
    </row>
    <row r="54" customFormat="false" ht="31.5" hidden="false" customHeight="true" outlineLevel="0" collapsed="false">
      <c r="A54" s="5" t="s">
        <v>3</v>
      </c>
      <c r="B54" s="5" t="s">
        <v>683</v>
      </c>
      <c r="C54" s="5" t="s">
        <v>5</v>
      </c>
      <c r="D54" s="16" t="s">
        <v>6</v>
      </c>
      <c r="E54" s="16" t="s">
        <v>7</v>
      </c>
      <c r="F54" s="16" t="s">
        <v>8</v>
      </c>
      <c r="G54" s="5" t="s">
        <v>114</v>
      </c>
      <c r="H54" s="5" t="s">
        <v>672</v>
      </c>
    </row>
    <row r="55" customFormat="false" ht="30.75" hidden="false" customHeight="true" outlineLevel="0" collapsed="false">
      <c r="A55" s="6" t="s">
        <v>812</v>
      </c>
      <c r="B55" s="7" t="s">
        <v>528</v>
      </c>
      <c r="C55" s="7" t="s">
        <v>12</v>
      </c>
      <c r="D55" s="8" t="n">
        <f aca="false">Invoer!D140</f>
        <v>5</v>
      </c>
      <c r="E55" s="8" t="n">
        <f aca="false">Invoer!E140</f>
        <v>5</v>
      </c>
      <c r="F55" s="8" t="n">
        <f aca="false">Invoer!F140</f>
        <v>5</v>
      </c>
      <c r="G55" s="7"/>
      <c r="H55" s="7" t="s">
        <v>813</v>
      </c>
    </row>
    <row r="56" customFormat="false" ht="30.75" hidden="false" customHeight="true" outlineLevel="0" collapsed="false">
      <c r="A56" s="6" t="s">
        <v>814</v>
      </c>
      <c r="B56" s="7" t="s">
        <v>815</v>
      </c>
      <c r="C56" s="7" t="s">
        <v>23</v>
      </c>
      <c r="D56" s="10" t="n">
        <f aca="false">Invoer!D141</f>
        <v>1300</v>
      </c>
      <c r="E56" s="10" t="n">
        <f aca="false">Invoer!E141</f>
        <v>1300</v>
      </c>
      <c r="F56" s="10" t="n">
        <f aca="false">Invoer!F141</f>
        <v>1300</v>
      </c>
      <c r="G56" s="7"/>
      <c r="H56" s="7" t="s">
        <v>816</v>
      </c>
    </row>
    <row r="57" customFormat="false" ht="30.75" hidden="false" customHeight="true" outlineLevel="0" collapsed="false">
      <c r="A57" s="6" t="s">
        <v>817</v>
      </c>
      <c r="B57" s="7" t="s">
        <v>818</v>
      </c>
      <c r="C57" s="7" t="s">
        <v>23</v>
      </c>
      <c r="D57" s="10" t="n">
        <f aca="false">D55*D56</f>
        <v>6500</v>
      </c>
      <c r="E57" s="10" t="n">
        <f aca="false">E55*E56</f>
        <v>6500</v>
      </c>
      <c r="F57" s="10" t="n">
        <f aca="false">F55*F56</f>
        <v>6500</v>
      </c>
      <c r="G57" s="7"/>
      <c r="H57" s="7" t="s">
        <v>819</v>
      </c>
    </row>
    <row r="58" customFormat="false" ht="30.75" hidden="false" customHeight="true" outlineLevel="0" collapsed="false">
      <c r="A58" s="6" t="s">
        <v>820</v>
      </c>
      <c r="B58" s="7" t="s">
        <v>540</v>
      </c>
      <c r="C58" s="7" t="s">
        <v>12</v>
      </c>
      <c r="D58" s="8" t="n">
        <f aca="false">Invoer!D144</f>
        <v>10</v>
      </c>
      <c r="E58" s="8" t="n">
        <f aca="false">Invoer!E144</f>
        <v>10</v>
      </c>
      <c r="F58" s="8" t="n">
        <f aca="false">Invoer!F144</f>
        <v>10</v>
      </c>
      <c r="G58" s="7"/>
      <c r="H58" s="7" t="s">
        <v>821</v>
      </c>
    </row>
    <row r="59" customFormat="false" ht="30.75" hidden="false" customHeight="true" outlineLevel="0" collapsed="false">
      <c r="A59" s="6" t="s">
        <v>822</v>
      </c>
      <c r="B59" s="7" t="s">
        <v>543</v>
      </c>
      <c r="C59" s="7" t="s">
        <v>12</v>
      </c>
      <c r="D59" s="8" t="n">
        <f aca="false">Invoer!D145</f>
        <v>10</v>
      </c>
      <c r="E59" s="8" t="n">
        <f aca="false">Invoer!E145</f>
        <v>10</v>
      </c>
      <c r="F59" s="8" t="n">
        <f aca="false">Invoer!F145</f>
        <v>10</v>
      </c>
      <c r="G59" s="7"/>
      <c r="H59" s="7" t="s">
        <v>823</v>
      </c>
    </row>
    <row r="60" customFormat="false" ht="30.75" hidden="false" customHeight="true" outlineLevel="0" collapsed="false">
      <c r="A60" s="6"/>
      <c r="B60" s="7"/>
      <c r="C60" s="7"/>
      <c r="D60" s="10"/>
      <c r="E60" s="10"/>
      <c r="F60" s="10"/>
      <c r="G60" s="7"/>
      <c r="H60" s="7"/>
    </row>
    <row r="61" customFormat="false" ht="30.75" hidden="false" customHeight="true" outlineLevel="0" collapsed="false">
      <c r="A61" s="6"/>
      <c r="B61" s="7"/>
      <c r="C61" s="7"/>
      <c r="D61" s="10"/>
      <c r="E61" s="10"/>
      <c r="F61" s="10"/>
      <c r="G61" s="7"/>
      <c r="H61" s="7"/>
    </row>
    <row r="62" customFormat="false" ht="30.75" hidden="false" customHeight="true" outlineLevel="0" collapsed="false">
      <c r="A62" s="6"/>
      <c r="B62" s="7"/>
      <c r="C62" s="7"/>
      <c r="D62" s="10"/>
      <c r="E62" s="10"/>
      <c r="F62" s="10"/>
      <c r="G62" s="7"/>
      <c r="H62" s="7"/>
    </row>
    <row r="63" customFormat="false" ht="30.75" hidden="false" customHeight="true" outlineLevel="0" collapsed="false">
      <c r="A63" s="6"/>
      <c r="B63" s="7"/>
      <c r="C63" s="7"/>
      <c r="D63" s="10"/>
      <c r="E63" s="10"/>
      <c r="F63" s="10"/>
      <c r="G63" s="7"/>
      <c r="H63" s="7"/>
    </row>
    <row r="64" customFormat="false" ht="30.75" hidden="false" customHeight="true" outlineLevel="0" collapsed="false">
      <c r="A64" s="6"/>
      <c r="B64" s="7"/>
      <c r="C64" s="7"/>
      <c r="D64" s="10"/>
      <c r="E64" s="10"/>
      <c r="F64" s="10"/>
      <c r="G64" s="7"/>
      <c r="H64" s="7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</row>
  </sheetData>
  <conditionalFormatting sqref="D29:F29">
    <cfRule type="cellIs" priority="2" operator="lessThan" aboveAverage="0" equalAverage="0" bottom="0" percent="0" rank="0" text="" dxfId="0">
      <formula>0</formula>
    </cfRule>
  </conditionalFormatting>
  <conditionalFormatting sqref="D40:F40">
    <cfRule type="cellIs" priority="3" operator="lessThan" aboveAverage="0" equalAverage="0" bottom="0" percent="0" rank="0" text="" dxfId="1">
      <formula>0</formula>
    </cfRule>
  </conditionalFormatting>
  <conditionalFormatting sqref="D45:F45">
    <cfRule type="cellIs" priority="4" operator="lessThan" aboveAverage="0" equalAverage="0" bottom="0" percent="0" rank="0" text="" dxfId="1">
      <formula>0</formula>
    </cfRule>
  </conditionalFormatting>
  <conditionalFormatting sqref="D48:F48">
    <cfRule type="cellIs" priority="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9"/>
    <col collapsed="false" customWidth="true" hidden="false" outlineLevel="0" max="3" min="3" style="0" width="18"/>
    <col collapsed="false" customWidth="true" hidden="false" outlineLevel="0" max="6" min="4" style="0" width="17"/>
    <col collapsed="false" customWidth="true" hidden="false" outlineLevel="0" max="7" min="7" style="0" width="24"/>
    <col collapsed="false" customWidth="true" hidden="false" outlineLevel="0" max="8" min="8" style="0" width="6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8.55" hidden="false" customHeight="false" outlineLevel="0" collapsed="false">
      <c r="A2" s="2" t="s">
        <v>824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 t="s">
        <v>1</v>
      </c>
      <c r="C3" s="3"/>
      <c r="D3" s="4" t="n">
        <f aca="false">Invoer!$D$3</f>
        <v>3</v>
      </c>
      <c r="E3" s="3"/>
      <c r="F3" s="3"/>
      <c r="G3" s="3"/>
      <c r="H3" s="3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27" hidden="false" customHeight="true" outlineLevel="0" collapsed="false">
      <c r="A5" s="5" t="s">
        <v>3</v>
      </c>
      <c r="B5" s="5" t="s">
        <v>683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114</v>
      </c>
      <c r="H5" s="5" t="s">
        <v>672</v>
      </c>
    </row>
    <row r="6" customFormat="false" ht="27" hidden="false" customHeight="true" outlineLevel="0" collapsed="false">
      <c r="A6" s="6" t="s">
        <v>825</v>
      </c>
      <c r="B6" s="7" t="s">
        <v>826</v>
      </c>
      <c r="C6" s="7" t="s">
        <v>43</v>
      </c>
      <c r="D6" s="10" t="n">
        <f aca="false">ROUNDUP(Invoer!D7/Invoer!D32,0)</f>
        <v>8</v>
      </c>
      <c r="E6" s="10" t="n">
        <f aca="false">ROUNDUP(Invoer!E7/Invoer!E32,0)</f>
        <v>16</v>
      </c>
      <c r="F6" s="10" t="n">
        <f aca="false">ROUNDUP(Invoer!F7/Invoer!F32,0)</f>
        <v>24</v>
      </c>
      <c r="G6" s="6"/>
      <c r="H6" s="7" t="s">
        <v>827</v>
      </c>
    </row>
    <row r="7" customFormat="false" ht="27" hidden="false" customHeight="true" outlineLevel="0" collapsed="false">
      <c r="A7" s="6" t="s">
        <v>828</v>
      </c>
      <c r="B7" s="7" t="s">
        <v>829</v>
      </c>
      <c r="C7" s="7" t="s">
        <v>160</v>
      </c>
      <c r="D7" s="10" t="n">
        <f aca="false">Invoer!D32/Invoer!D33+Invoer!D34</f>
        <v>71</v>
      </c>
      <c r="E7" s="10" t="n">
        <f aca="false">Invoer!E32/Invoer!E33+Invoer!E34</f>
        <v>71</v>
      </c>
      <c r="F7" s="10" t="n">
        <f aca="false">Invoer!F32/Invoer!F33+Invoer!F34</f>
        <v>71</v>
      </c>
      <c r="G7" s="6"/>
      <c r="H7" s="7" t="s">
        <v>830</v>
      </c>
    </row>
    <row r="8" customFormat="false" ht="27" hidden="false" customHeight="true" outlineLevel="0" collapsed="false">
      <c r="A8" s="6" t="s">
        <v>831</v>
      </c>
      <c r="B8" s="7" t="s">
        <v>832</v>
      </c>
      <c r="C8" s="7" t="s">
        <v>19</v>
      </c>
      <c r="D8" s="9" t="n">
        <f aca="false">D6*D7/(Invoer!D10*24*Invoer!D11)</f>
        <v>0.068252823840423</v>
      </c>
      <c r="E8" s="9" t="n">
        <f aca="false">E6*E7/(Invoer!E10*24*Invoer!E11)</f>
        <v>0.136505647680846</v>
      </c>
      <c r="F8" s="9" t="n">
        <f aca="false">F6*F7/(Invoer!F10*24*Invoer!F11)</f>
        <v>0.204758471521269</v>
      </c>
      <c r="G8" s="6"/>
      <c r="H8" s="7" t="s">
        <v>833</v>
      </c>
    </row>
    <row r="9" customFormat="false" ht="27" hidden="false" customHeight="true" outlineLevel="0" collapsed="false">
      <c r="A9" s="6" t="s">
        <v>834</v>
      </c>
      <c r="B9" s="7" t="s">
        <v>835</v>
      </c>
      <c r="C9" s="7" t="s">
        <v>86</v>
      </c>
      <c r="D9" s="10" t="n">
        <f aca="false">Invoer!D7*Invoer!D35/Invoer!D10*Invoer!D27</f>
        <v>51369.8630136986</v>
      </c>
      <c r="E9" s="10" t="n">
        <f aca="false">Invoer!E7*Invoer!E35/Invoer!E10*Invoer!E27</f>
        <v>102739.726027397</v>
      </c>
      <c r="F9" s="10" t="n">
        <f aca="false">Invoer!F7*Invoer!F35/Invoer!F10*Invoer!F27</f>
        <v>154109.589041096</v>
      </c>
      <c r="G9" s="6"/>
      <c r="H9" s="7" t="s">
        <v>836</v>
      </c>
    </row>
    <row r="10" customFormat="false" ht="27" hidden="false" customHeight="true" outlineLevel="0" collapsed="false">
      <c r="A10" s="6" t="s">
        <v>837</v>
      </c>
      <c r="B10" s="7" t="s">
        <v>838</v>
      </c>
      <c r="C10" s="7" t="s">
        <v>30</v>
      </c>
      <c r="D10" s="10" t="n">
        <f aca="false">D9/Invoer!D36/Invoer!D37*Invoer!D38/10000</f>
        <v>1.71232876712329</v>
      </c>
      <c r="E10" s="10" t="n">
        <f aca="false">E9/Invoer!E36/Invoer!E37*Invoer!E38/10000</f>
        <v>3.42465753424658</v>
      </c>
      <c r="F10" s="10" t="n">
        <f aca="false">F9/Invoer!F36/Invoer!F37*Invoer!F38/10000</f>
        <v>5.13698630136986</v>
      </c>
      <c r="G10" s="6"/>
      <c r="H10" s="7" t="s">
        <v>839</v>
      </c>
    </row>
    <row r="11" customFormat="false" ht="27" hidden="false" customHeight="true" outlineLevel="0" collapsed="false">
      <c r="A11" s="6" t="s">
        <v>840</v>
      </c>
      <c r="B11" s="7" t="s">
        <v>226</v>
      </c>
      <c r="C11" s="7" t="s">
        <v>30</v>
      </c>
      <c r="D11" s="10" t="n">
        <f aca="false">Invoer!D39</f>
        <v>30.4218400725218</v>
      </c>
      <c r="E11" s="10" t="n">
        <f aca="false">Invoer!E39</f>
        <v>30.4218400725218</v>
      </c>
      <c r="F11" s="10" t="n">
        <f aca="false">Invoer!F39</f>
        <v>30.4218400725218</v>
      </c>
      <c r="G11" s="6"/>
      <c r="H11" s="7" t="s">
        <v>841</v>
      </c>
    </row>
    <row r="12" customFormat="false" ht="27" hidden="false" customHeight="true" outlineLevel="0" collapsed="false">
      <c r="A12" s="6" t="s">
        <v>842</v>
      </c>
      <c r="B12" s="7" t="s">
        <v>843</v>
      </c>
      <c r="C12" s="7" t="s">
        <v>43</v>
      </c>
      <c r="D12" s="10" t="n">
        <f aca="false">ROUNDUP(Invoer!D8/Invoer!D40,0)</f>
        <v>7</v>
      </c>
      <c r="E12" s="10" t="n">
        <f aca="false">ROUNDUP(Invoer!E8/Invoer!E40,0)</f>
        <v>20</v>
      </c>
      <c r="F12" s="10" t="n">
        <f aca="false">ROUNDUP(Invoer!F8/Invoer!F40,0)</f>
        <v>33</v>
      </c>
      <c r="G12" s="6"/>
      <c r="H12" s="7" t="s">
        <v>844</v>
      </c>
    </row>
    <row r="13" customFormat="false" ht="27" hidden="false" customHeight="true" outlineLevel="0" collapsed="false">
      <c r="A13" s="6" t="s">
        <v>845</v>
      </c>
      <c r="B13" s="7" t="s">
        <v>846</v>
      </c>
      <c r="C13" s="7" t="s">
        <v>160</v>
      </c>
      <c r="D13" s="10" t="n">
        <f aca="false">Invoer!D40/Invoer!D41+Invoer!D42</f>
        <v>47.3333333333333</v>
      </c>
      <c r="E13" s="10" t="n">
        <f aca="false">Invoer!E40/Invoer!E41+Invoer!E42</f>
        <v>47.3333333333333</v>
      </c>
      <c r="F13" s="10" t="n">
        <f aca="false">Invoer!F40/Invoer!F41+Invoer!F42</f>
        <v>47.3333333333333</v>
      </c>
      <c r="G13" s="6"/>
      <c r="H13" s="7" t="s">
        <v>847</v>
      </c>
    </row>
    <row r="14" customFormat="false" ht="27" hidden="false" customHeight="true" outlineLevel="0" collapsed="false">
      <c r="A14" s="6" t="s">
        <v>848</v>
      </c>
      <c r="B14" s="7" t="s">
        <v>849</v>
      </c>
      <c r="C14" s="7" t="s">
        <v>19</v>
      </c>
      <c r="D14" s="9" t="n">
        <f aca="false">D12*D13/(Invoer!D10*24*Invoer!D11)</f>
        <v>0.0398141472402467</v>
      </c>
      <c r="E14" s="9" t="n">
        <f aca="false">E12*E13/(Invoer!E10*24*Invoer!E11)</f>
        <v>0.113754706400705</v>
      </c>
      <c r="F14" s="9" t="n">
        <f aca="false">F12*F13/(Invoer!F10*24*Invoer!F11)</f>
        <v>0.187695265561163</v>
      </c>
      <c r="G14" s="6"/>
      <c r="H14" s="7" t="s">
        <v>850</v>
      </c>
    </row>
    <row r="15" customFormat="false" ht="27" hidden="false" customHeight="true" outlineLevel="0" collapsed="false">
      <c r="A15" s="6" t="s">
        <v>851</v>
      </c>
      <c r="B15" s="7" t="s">
        <v>852</v>
      </c>
      <c r="C15" s="7" t="s">
        <v>82</v>
      </c>
      <c r="D15" s="10" t="n">
        <f aca="false">Invoer!D8*Invoer!D43/Invoer!D10*Invoer!D44</f>
        <v>1602.7397260274</v>
      </c>
      <c r="E15" s="10" t="n">
        <f aca="false">Invoer!E8*Invoer!E43/Invoer!E10*Invoer!E44</f>
        <v>4630.13698630137</v>
      </c>
      <c r="F15" s="10" t="n">
        <f aca="false">Invoer!F8*Invoer!F43/Invoer!F10*Invoer!F44</f>
        <v>7479.45205479452</v>
      </c>
      <c r="G15" s="6"/>
      <c r="H15" s="7"/>
    </row>
    <row r="16" customFormat="false" ht="27" hidden="false" customHeight="true" outlineLevel="0" collapsed="false">
      <c r="A16" s="6" t="s">
        <v>853</v>
      </c>
      <c r="B16" s="7" t="s">
        <v>854</v>
      </c>
      <c r="C16" s="7" t="s">
        <v>30</v>
      </c>
      <c r="D16" s="10" t="n">
        <f aca="false">D15*Invoer!D45*Invoer!D31/10000</f>
        <v>5.76986301369863</v>
      </c>
      <c r="E16" s="10" t="n">
        <f aca="false">E15*Invoer!E45*Invoer!E31/10000</f>
        <v>16.6684931506849</v>
      </c>
      <c r="F16" s="10" t="n">
        <f aca="false">F15*Invoer!F45*Invoer!F31/10000</f>
        <v>26.9260273972603</v>
      </c>
      <c r="G16" s="6"/>
      <c r="H16" s="7" t="s">
        <v>855</v>
      </c>
    </row>
    <row r="17" customFormat="false" ht="27" hidden="false" customHeight="true" outlineLevel="0" collapsed="false">
      <c r="A17" s="6" t="s">
        <v>856</v>
      </c>
      <c r="B17" s="7" t="s">
        <v>857</v>
      </c>
      <c r="C17" s="7" t="s">
        <v>30</v>
      </c>
      <c r="D17" s="10" t="n">
        <f aca="false">Invoer!D46</f>
        <v>30.2103675000326</v>
      </c>
      <c r="E17" s="10" t="n">
        <f aca="false">Invoer!E46</f>
        <v>30.2103675000326</v>
      </c>
      <c r="F17" s="10" t="n">
        <f aca="false">Invoer!F46</f>
        <v>30.2103675000326</v>
      </c>
      <c r="G17" s="6"/>
      <c r="H17" s="7" t="s">
        <v>858</v>
      </c>
    </row>
    <row r="18" customFormat="false" ht="27" hidden="false" customHeight="true" outlineLevel="0" collapsed="false">
      <c r="A18" s="6" t="s">
        <v>859</v>
      </c>
      <c r="B18" s="7" t="s">
        <v>860</v>
      </c>
      <c r="C18" s="7" t="s">
        <v>861</v>
      </c>
      <c r="D18" s="10" t="n">
        <f aca="false">Invoer!D47*Invoer!D48</f>
        <v>156600</v>
      </c>
      <c r="E18" s="10" t="n">
        <f aca="false">Invoer!E47*Invoer!E48</f>
        <v>156600</v>
      </c>
      <c r="F18" s="10" t="n">
        <f aca="false">Invoer!F47*Invoer!F48</f>
        <v>156600</v>
      </c>
      <c r="G18" s="6"/>
      <c r="H18" s="7" t="s">
        <v>862</v>
      </c>
    </row>
    <row r="19" customFormat="false" ht="27" hidden="false" customHeight="true" outlineLevel="0" collapsed="false">
      <c r="A19" s="6" t="s">
        <v>863</v>
      </c>
      <c r="B19" s="7" t="s">
        <v>864</v>
      </c>
      <c r="C19" s="7" t="s">
        <v>43</v>
      </c>
      <c r="D19" s="10" t="n">
        <f aca="false">ROUNDUP(Invoer!D9/D18,0)</f>
        <v>26</v>
      </c>
      <c r="E19" s="10" t="n">
        <f aca="false">ROUNDUP(Invoer!E9/E18,0)</f>
        <v>39</v>
      </c>
      <c r="F19" s="10" t="n">
        <f aca="false">ROUNDUP(Invoer!F9/F18,0)</f>
        <v>52</v>
      </c>
      <c r="G19" s="6"/>
      <c r="H19" s="7" t="s">
        <v>865</v>
      </c>
    </row>
    <row r="20" customFormat="false" ht="27" hidden="false" customHeight="true" outlineLevel="0" collapsed="false">
      <c r="A20" s="6" t="s">
        <v>866</v>
      </c>
      <c r="B20" s="7" t="s">
        <v>867</v>
      </c>
      <c r="C20" s="7" t="s">
        <v>160</v>
      </c>
      <c r="D20" s="10" t="n">
        <f aca="false">D18/Invoer!D49+Invoer!D50</f>
        <v>23.66</v>
      </c>
      <c r="E20" s="10" t="n">
        <f aca="false">E18/Invoer!E49+Invoer!E50</f>
        <v>23.66</v>
      </c>
      <c r="F20" s="10" t="n">
        <f aca="false">F18/Invoer!F49+Invoer!F50</f>
        <v>23.66</v>
      </c>
      <c r="G20" s="6"/>
      <c r="H20" s="7" t="s">
        <v>868</v>
      </c>
    </row>
    <row r="21" customFormat="false" ht="27" hidden="false" customHeight="true" outlineLevel="0" collapsed="false">
      <c r="A21" s="6" t="s">
        <v>869</v>
      </c>
      <c r="B21" s="7" t="s">
        <v>870</v>
      </c>
      <c r="C21" s="7" t="s">
        <v>19</v>
      </c>
      <c r="D21" s="9" t="n">
        <f aca="false">D19*D20/(Invoer!D10*24*Invoer!D11)</f>
        <v>0.0739197308339342</v>
      </c>
      <c r="E21" s="9" t="n">
        <f aca="false">E19*E20/(Invoer!E10*24*Invoer!E11)</f>
        <v>0.110879596250901</v>
      </c>
      <c r="F21" s="9" t="n">
        <f aca="false">F19*F20/(Invoer!F10*24*Invoer!F11)</f>
        <v>0.147839461667868</v>
      </c>
      <c r="G21" s="6"/>
      <c r="H21" s="7" t="s">
        <v>871</v>
      </c>
    </row>
    <row r="22" customFormat="false" ht="27" hidden="false" customHeight="true" outlineLevel="0" collapsed="false">
      <c r="A22" s="6" t="s">
        <v>872</v>
      </c>
      <c r="B22" s="7" t="s">
        <v>873</v>
      </c>
      <c r="C22" s="7" t="s">
        <v>47</v>
      </c>
      <c r="D22" s="10" t="n">
        <f aca="false">Invoer!D51*Invoer!D52</f>
        <v>540000</v>
      </c>
      <c r="E22" s="10" t="n">
        <f aca="false">Invoer!E51*Invoer!E52</f>
        <v>540000</v>
      </c>
      <c r="F22" s="10" t="n">
        <f aca="false">Invoer!F51*Invoer!F52</f>
        <v>540000</v>
      </c>
      <c r="G22" s="6"/>
      <c r="H22" s="7" t="s">
        <v>874</v>
      </c>
    </row>
    <row r="23" customFormat="false" ht="27" hidden="false" customHeight="true" outlineLevel="0" collapsed="false">
      <c r="A23" s="6" t="s">
        <v>875</v>
      </c>
      <c r="B23" s="7" t="s">
        <v>876</v>
      </c>
      <c r="C23" s="7" t="s">
        <v>47</v>
      </c>
      <c r="D23" s="10" t="n">
        <f aca="false">D22*(Invoer!D54-Invoer!D53)</f>
        <v>432000</v>
      </c>
      <c r="E23" s="10" t="n">
        <f aca="false">E22*(Invoer!E54-Invoer!E53)</f>
        <v>432000</v>
      </c>
      <c r="F23" s="10" t="n">
        <f aca="false">F22*(Invoer!F54-Invoer!F53)</f>
        <v>432000</v>
      </c>
      <c r="G23" s="6"/>
      <c r="H23" s="7" t="s">
        <v>877</v>
      </c>
    </row>
    <row r="24" customFormat="false" ht="27" hidden="false" customHeight="true" outlineLevel="0" collapsed="false">
      <c r="A24" s="6" t="s">
        <v>878</v>
      </c>
      <c r="B24" s="7" t="s">
        <v>879</v>
      </c>
      <c r="C24" s="7" t="s">
        <v>47</v>
      </c>
      <c r="D24" s="10" t="n">
        <f aca="false">Invoer!D9/Invoer!D10*Invoer!D55+D18</f>
        <v>233312.328767123</v>
      </c>
      <c r="E24" s="10" t="n">
        <f aca="false">Invoer!E9/Invoer!E10*Invoer!E55+E18</f>
        <v>271668.493150685</v>
      </c>
      <c r="F24" s="10" t="n">
        <f aca="false">Invoer!F9/Invoer!F10*Invoer!F55+F18</f>
        <v>310024.657534247</v>
      </c>
      <c r="G24" s="6"/>
      <c r="H24" s="7" t="s">
        <v>880</v>
      </c>
    </row>
    <row r="25" customFormat="false" ht="27" hidden="false" customHeight="true" outlineLevel="0" collapsed="false">
      <c r="A25" s="6" t="s">
        <v>881</v>
      </c>
      <c r="B25" s="7" t="s">
        <v>882</v>
      </c>
      <c r="C25" s="7" t="s">
        <v>47</v>
      </c>
      <c r="D25" s="10" t="n">
        <f aca="false">D23-D24</f>
        <v>198687.671232877</v>
      </c>
      <c r="E25" s="10" t="n">
        <f aca="false">E23-E24</f>
        <v>160331.506849315</v>
      </c>
      <c r="F25" s="10" t="n">
        <f aca="false">F23-F24</f>
        <v>121975.342465753</v>
      </c>
      <c r="G25" s="6"/>
      <c r="H25" s="7" t="s">
        <v>883</v>
      </c>
    </row>
    <row r="26" customFormat="false" ht="27" hidden="false" customHeight="true" outlineLevel="0" collapsed="false">
      <c r="A26" s="6" t="s">
        <v>884</v>
      </c>
      <c r="B26" s="7" t="s">
        <v>885</v>
      </c>
      <c r="C26" s="7" t="s">
        <v>47</v>
      </c>
      <c r="D26" s="10" t="n">
        <f aca="false">MAX(0,Invoer!D51-1)*Invoer!D52*(Invoer!D54-Invoer!D53)</f>
        <v>288000</v>
      </c>
      <c r="E26" s="10" t="n">
        <f aca="false">MAX(0,Invoer!E51-1)*Invoer!E52*(Invoer!E54-Invoer!E53)</f>
        <v>288000</v>
      </c>
      <c r="F26" s="10" t="n">
        <f aca="false">MAX(0,Invoer!F51-1)*Invoer!F52*(Invoer!F54-Invoer!F53)</f>
        <v>288000</v>
      </c>
      <c r="G26" s="6"/>
      <c r="H26" s="7" t="s">
        <v>886</v>
      </c>
    </row>
    <row r="27" customFormat="false" ht="27" hidden="false" customHeight="true" outlineLevel="0" collapsed="false">
      <c r="A27" s="6" t="s">
        <v>887</v>
      </c>
      <c r="B27" s="7" t="s">
        <v>888</v>
      </c>
      <c r="C27" s="7" t="s">
        <v>47</v>
      </c>
      <c r="D27" s="10" t="n">
        <f aca="false">D26-D24</f>
        <v>54687.6712328767</v>
      </c>
      <c r="E27" s="10" t="n">
        <f aca="false">E26-E24</f>
        <v>16331.5068493151</v>
      </c>
      <c r="F27" s="10" t="n">
        <f aca="false">F26-F24</f>
        <v>-22024.6575342466</v>
      </c>
      <c r="G27" s="6"/>
      <c r="H27" s="7" t="s">
        <v>889</v>
      </c>
    </row>
    <row r="28" customFormat="false" ht="27" hidden="false" customHeight="true" outlineLevel="0" collapsed="false">
      <c r="A28" s="6" t="s">
        <v>890</v>
      </c>
      <c r="B28" s="7" t="s">
        <v>891</v>
      </c>
      <c r="C28" s="7" t="s">
        <v>892</v>
      </c>
      <c r="D28" s="10" t="n">
        <f aca="false">Invoer!D9*Invoer!D56</f>
        <v>2400000000</v>
      </c>
      <c r="E28" s="10" t="n">
        <f aca="false">Invoer!E9*Invoer!E56</f>
        <v>3600000000</v>
      </c>
      <c r="F28" s="10" t="n">
        <f aca="false">Invoer!F9*Invoer!F56</f>
        <v>4800000000</v>
      </c>
      <c r="G28" s="6"/>
      <c r="H28" s="7" t="s">
        <v>893</v>
      </c>
    </row>
    <row r="29" customFormat="false" ht="27" hidden="false" customHeight="true" outlineLevel="0" collapsed="false">
      <c r="A29" s="6" t="s">
        <v>894</v>
      </c>
      <c r="B29" s="7" t="s">
        <v>895</v>
      </c>
      <c r="C29" s="7" t="s">
        <v>896</v>
      </c>
      <c r="D29" s="10" t="n">
        <f aca="false">Invoer!D9*Invoer!D57*Invoer!D58*Invoer!D59</f>
        <v>8400000</v>
      </c>
      <c r="E29" s="10" t="n">
        <f aca="false">Invoer!E9*Invoer!E57*Invoer!E58*Invoer!E59</f>
        <v>12600000</v>
      </c>
      <c r="F29" s="10" t="n">
        <f aca="false">Invoer!F9*Invoer!F57*Invoer!F58*Invoer!F59</f>
        <v>16800000</v>
      </c>
      <c r="G29" s="6"/>
      <c r="H29" s="7" t="s">
        <v>897</v>
      </c>
    </row>
    <row r="30" customFormat="false" ht="27" hidden="false" customHeight="true" outlineLevel="0" collapsed="false">
      <c r="A30" s="6" t="s">
        <v>898</v>
      </c>
      <c r="B30" s="7" t="s">
        <v>899</v>
      </c>
      <c r="C30" s="7" t="s">
        <v>54</v>
      </c>
      <c r="D30" s="10" t="n">
        <f aca="false">Invoer!F9*Invoer!F57*Invoer!F58*Invoer!F59/(Invoer!F10*24*Invoer!F60)</f>
        <v>2256.24496373892</v>
      </c>
      <c r="E30" s="10" t="n">
        <f aca="false">Invoer!F9*Invoer!F57*Invoer!F58*Invoer!F59/(Invoer!F10*24*Invoer!F60)</f>
        <v>2256.24496373892</v>
      </c>
      <c r="F30" s="10" t="n">
        <f aca="false">Invoer!F9*Invoer!F57*Invoer!F58*Invoer!F59/(Invoer!F10*24*Invoer!F60)</f>
        <v>2256.24496373892</v>
      </c>
      <c r="G30" s="6"/>
      <c r="H30" s="7" t="s">
        <v>900</v>
      </c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</row>
    <row r="33" customFormat="false" ht="15" hidden="false" customHeight="false" outlineLevel="0" collapsed="false">
      <c r="A33" s="24" t="s">
        <v>901</v>
      </c>
      <c r="B33" s="24"/>
      <c r="C33" s="24"/>
      <c r="D33" s="24"/>
      <c r="E33" s="24"/>
      <c r="F33" s="24"/>
      <c r="G33" s="24"/>
      <c r="H33" s="24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</row>
    <row r="35" customFormat="false" ht="15" hidden="false" customHeight="false" outlineLevel="0" collapsed="false">
      <c r="A35" s="1"/>
      <c r="B35" s="26" t="s">
        <v>902</v>
      </c>
      <c r="C35" s="26" t="s">
        <v>43</v>
      </c>
      <c r="D35" s="43" t="n">
        <f aca="false">Containers!D9+D6+D12+D19</f>
        <v>308</v>
      </c>
      <c r="E35" s="43" t="n">
        <f aca="false">Containers!E9+E6+E12+E19</f>
        <v>520</v>
      </c>
      <c r="F35" s="43" t="n">
        <f aca="false">Containers!F9+F6+F12+F19</f>
        <v>998</v>
      </c>
      <c r="G35" s="1"/>
      <c r="H35" s="1"/>
    </row>
    <row r="36" customFormat="false" ht="15" hidden="false" customHeight="false" outlineLevel="0" collapsed="false">
      <c r="A36" s="1"/>
      <c r="B36" s="26" t="s">
        <v>903</v>
      </c>
      <c r="C36" s="26" t="s">
        <v>904</v>
      </c>
      <c r="D36" s="43" t="n">
        <f aca="false">2*D35</f>
        <v>616</v>
      </c>
      <c r="E36" s="43" t="n">
        <f aca="false">2*E35</f>
        <v>1040</v>
      </c>
      <c r="F36" s="43" t="n">
        <f aca="false">2*F35</f>
        <v>1996</v>
      </c>
      <c r="G36" s="1"/>
      <c r="H36" s="1"/>
    </row>
    <row r="37" customFormat="false" ht="15" hidden="false" customHeight="false" outlineLevel="0" collapsed="false">
      <c r="A37" s="1"/>
      <c r="B37" s="26" t="s">
        <v>905</v>
      </c>
      <c r="C37" s="26" t="s">
        <v>906</v>
      </c>
      <c r="D37" s="43" t="n">
        <f aca="false">D36/Invoer!D10</f>
        <v>1.68767123287671</v>
      </c>
      <c r="E37" s="43" t="n">
        <f aca="false">E36/Invoer!E10</f>
        <v>2.84931506849315</v>
      </c>
      <c r="F37" s="43" t="n">
        <f aca="false">F36/Invoer!F10</f>
        <v>5.46849315068493</v>
      </c>
      <c r="G37" s="1"/>
      <c r="H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</row>
    <row r="40" customFormat="false" ht="24.75" hidden="false" customHeight="true" outlineLevel="0" collapsed="false">
      <c r="A40" s="12" t="s">
        <v>907</v>
      </c>
      <c r="B40" s="13"/>
      <c r="C40" s="13"/>
      <c r="D40" s="14"/>
      <c r="E40" s="14"/>
      <c r="F40" s="14"/>
      <c r="G40" s="13"/>
      <c r="H40" s="13"/>
    </row>
    <row r="41" customFormat="false" ht="31.5" hidden="false" customHeight="true" outlineLevel="0" collapsed="false">
      <c r="A41" s="5" t="s">
        <v>3</v>
      </c>
      <c r="B41" s="5" t="s">
        <v>683</v>
      </c>
      <c r="C41" s="5" t="s">
        <v>5</v>
      </c>
      <c r="D41" s="16" t="s">
        <v>6</v>
      </c>
      <c r="E41" s="16" t="s">
        <v>7</v>
      </c>
      <c r="F41" s="16" t="s">
        <v>8</v>
      </c>
      <c r="G41" s="5" t="s">
        <v>114</v>
      </c>
      <c r="H41" s="5" t="s">
        <v>672</v>
      </c>
    </row>
    <row r="42" customFormat="false" ht="30.75" hidden="false" customHeight="true" outlineLevel="0" collapsed="false">
      <c r="A42" s="6" t="s">
        <v>908</v>
      </c>
      <c r="B42" s="7" t="s">
        <v>909</v>
      </c>
      <c r="C42" s="7" t="s">
        <v>12</v>
      </c>
      <c r="D42" s="41" t="n">
        <f aca="false">Invoer!D125</f>
        <v>8</v>
      </c>
      <c r="E42" s="41" t="n">
        <f aca="false">Invoer!E125</f>
        <v>8</v>
      </c>
      <c r="F42" s="41" t="n">
        <f aca="false">Invoer!F125</f>
        <v>8</v>
      </c>
      <c r="G42" s="7"/>
      <c r="H42" s="7" t="s">
        <v>910</v>
      </c>
    </row>
    <row r="43" customFormat="false" ht="30.75" hidden="false" customHeight="true" outlineLevel="0" collapsed="false">
      <c r="A43" s="6" t="s">
        <v>911</v>
      </c>
      <c r="B43" s="7" t="s">
        <v>912</v>
      </c>
      <c r="C43" s="7" t="s">
        <v>23</v>
      </c>
      <c r="D43" s="40" t="n">
        <f aca="false">Invoer!D126</f>
        <v>30</v>
      </c>
      <c r="E43" s="40" t="n">
        <f aca="false">Invoer!E126</f>
        <v>30</v>
      </c>
      <c r="F43" s="40" t="n">
        <f aca="false">Invoer!F126</f>
        <v>30</v>
      </c>
      <c r="G43" s="7"/>
      <c r="H43" s="7" t="s">
        <v>913</v>
      </c>
    </row>
    <row r="44" customFormat="false" ht="30.75" hidden="false" customHeight="true" outlineLevel="0" collapsed="false">
      <c r="A44" s="6" t="s">
        <v>914</v>
      </c>
      <c r="B44" s="7" t="s">
        <v>915</v>
      </c>
      <c r="C44" s="7" t="s">
        <v>23</v>
      </c>
      <c r="D44" s="40" t="n">
        <f aca="false">Invoer!D127</f>
        <v>40</v>
      </c>
      <c r="E44" s="40" t="n">
        <f aca="false">Invoer!E127</f>
        <v>40</v>
      </c>
      <c r="F44" s="40" t="n">
        <f aca="false">Invoer!F127</f>
        <v>40</v>
      </c>
      <c r="G44" s="7"/>
      <c r="H44" s="7" t="s">
        <v>916</v>
      </c>
    </row>
    <row r="45" customFormat="false" ht="30.75" hidden="false" customHeight="true" outlineLevel="0" collapsed="false">
      <c r="A45" s="6" t="s">
        <v>917</v>
      </c>
      <c r="B45" s="7" t="s">
        <v>918</v>
      </c>
      <c r="C45" s="7" t="s">
        <v>47</v>
      </c>
      <c r="D45" s="40" t="n">
        <f aca="false">D42*PI()*D43^2/4*D44</f>
        <v>226194.671058465</v>
      </c>
      <c r="E45" s="40" t="n">
        <f aca="false">E42*PI()*E43^2/4*E44</f>
        <v>226194.671058465</v>
      </c>
      <c r="F45" s="40" t="n">
        <f aca="false">F42*PI()*F43^2/4*F44</f>
        <v>226194.671058465</v>
      </c>
      <c r="G45" s="7"/>
      <c r="H45" s="7" t="s">
        <v>919</v>
      </c>
    </row>
    <row r="46" customFormat="false" ht="30.75" hidden="false" customHeight="true" outlineLevel="0" collapsed="false">
      <c r="A46" s="6" t="s">
        <v>920</v>
      </c>
      <c r="B46" s="7" t="s">
        <v>921</v>
      </c>
      <c r="C46" s="7" t="s">
        <v>86</v>
      </c>
      <c r="D46" s="40" t="n">
        <f aca="false">D45*Invoer!D36</f>
        <v>169646.003293849</v>
      </c>
      <c r="E46" s="40" t="n">
        <f aca="false">E45*Invoer!E36</f>
        <v>169646.003293849</v>
      </c>
      <c r="F46" s="40" t="n">
        <f aca="false">F45*Invoer!F36</f>
        <v>169646.003293849</v>
      </c>
      <c r="G46" s="7"/>
      <c r="H46" s="7" t="s">
        <v>922</v>
      </c>
    </row>
    <row r="47" customFormat="false" ht="30.75" hidden="false" customHeight="true" outlineLevel="0" collapsed="false">
      <c r="A47" s="6" t="s">
        <v>923</v>
      </c>
      <c r="B47" s="7" t="s">
        <v>924</v>
      </c>
      <c r="C47" s="7" t="s">
        <v>86</v>
      </c>
      <c r="D47" s="40" t="n">
        <f aca="false">D46*Invoer!D128</f>
        <v>152681.402964464</v>
      </c>
      <c r="E47" s="40" t="n">
        <f aca="false">E46*Invoer!E128</f>
        <v>152681.402964464</v>
      </c>
      <c r="F47" s="40" t="n">
        <f aca="false">F46*Invoer!F128</f>
        <v>152681.402964464</v>
      </c>
      <c r="G47" s="7"/>
      <c r="H47" s="7" t="s">
        <v>925</v>
      </c>
    </row>
    <row r="48" customFormat="false" ht="30.75" hidden="false" customHeight="true" outlineLevel="0" collapsed="false">
      <c r="A48" s="6" t="s">
        <v>926</v>
      </c>
      <c r="B48" s="7" t="s">
        <v>927</v>
      </c>
      <c r="C48" s="7" t="s">
        <v>86</v>
      </c>
      <c r="D48" s="40" t="n">
        <f aca="false">D47-D9</f>
        <v>101311.539950765</v>
      </c>
      <c r="E48" s="40" t="n">
        <f aca="false">E47-E9</f>
        <v>49941.6769370667</v>
      </c>
      <c r="F48" s="40" t="n">
        <f aca="false">F47-F9</f>
        <v>-1428.18607663194</v>
      </c>
      <c r="G48" s="7"/>
      <c r="H48" s="7" t="s">
        <v>928</v>
      </c>
    </row>
    <row r="49" customFormat="false" ht="30.75" hidden="false" customHeight="true" outlineLevel="0" collapsed="false">
      <c r="A49" s="6" t="s">
        <v>929</v>
      </c>
      <c r="B49" s="7" t="s">
        <v>930</v>
      </c>
      <c r="C49" s="7" t="s">
        <v>86</v>
      </c>
      <c r="D49" s="40" t="n">
        <f aca="false">MAX(0,-D48)</f>
        <v>0</v>
      </c>
      <c r="E49" s="40" t="n">
        <f aca="false">MAX(0,-E48)</f>
        <v>0</v>
      </c>
      <c r="F49" s="40" t="n">
        <f aca="false">MAX(0,-F48)</f>
        <v>1428.18607663194</v>
      </c>
      <c r="G49" s="7"/>
      <c r="H49" s="7" t="s">
        <v>931</v>
      </c>
    </row>
    <row r="50" customFormat="false" ht="30.75" hidden="false" customHeight="true" outlineLevel="0" collapsed="false">
      <c r="A50" s="6" t="s">
        <v>932</v>
      </c>
      <c r="B50" s="7" t="s">
        <v>933</v>
      </c>
      <c r="C50" s="7" t="s">
        <v>196</v>
      </c>
      <c r="D50" s="40" t="n">
        <f aca="false">Invoer!D129</f>
        <v>41086.0997999995</v>
      </c>
      <c r="E50" s="40" t="n">
        <f aca="false">Invoer!E129</f>
        <v>41086.0997999995</v>
      </c>
      <c r="F50" s="40" t="n">
        <f aca="false">Invoer!F129</f>
        <v>41086.0997999995</v>
      </c>
      <c r="G50" s="7"/>
      <c r="H50" s="7" t="s">
        <v>934</v>
      </c>
    </row>
    <row r="51" customFormat="false" ht="30.75" hidden="false" customHeight="true" outlineLevel="0" collapsed="false">
      <c r="A51" s="6" t="s">
        <v>935</v>
      </c>
      <c r="B51" s="7" t="s">
        <v>936</v>
      </c>
      <c r="C51" s="7" t="s">
        <v>23</v>
      </c>
      <c r="D51" s="40" t="n">
        <f aca="false">IF(COUNT(Invoer!D130)=1,Invoer!D130,"n.a.")</f>
        <v>6</v>
      </c>
      <c r="E51" s="40" t="n">
        <f aca="false">IF(COUNT(Invoer!E130)=1,Invoer!E130,"n.a.")</f>
        <v>6</v>
      </c>
      <c r="F51" s="40" t="n">
        <f aca="false">IF(COUNT(Invoer!F130)=1,Invoer!F130,"n.a.")</f>
        <v>6</v>
      </c>
      <c r="G51" s="7"/>
      <c r="H51" s="7" t="s">
        <v>937</v>
      </c>
    </row>
    <row r="52" customFormat="false" ht="30.75" hidden="false" customHeight="true" outlineLevel="0" collapsed="false">
      <c r="A52" s="6" t="s">
        <v>938</v>
      </c>
      <c r="B52" s="7" t="s">
        <v>939</v>
      </c>
      <c r="C52" s="7" t="s">
        <v>19</v>
      </c>
      <c r="D52" s="44" t="n">
        <f aca="false">IF(COUNT(Invoer!D131)=1,Invoer!D131,"n.a.")</f>
        <v>0.6</v>
      </c>
      <c r="E52" s="44" t="n">
        <f aca="false">IF(COUNT(Invoer!E131)=1,Invoer!E131,"n.a.")</f>
        <v>0.6</v>
      </c>
      <c r="F52" s="44" t="n">
        <f aca="false">IF(COUNT(Invoer!F131)=1,Invoer!F131,"n.a.")</f>
        <v>0.6</v>
      </c>
      <c r="G52" s="7"/>
      <c r="H52" s="7" t="s">
        <v>937</v>
      </c>
    </row>
    <row r="53" customFormat="false" ht="30.75" hidden="false" customHeight="true" outlineLevel="0" collapsed="false">
      <c r="A53" s="6" t="s">
        <v>940</v>
      </c>
      <c r="B53" s="7" t="s">
        <v>941</v>
      </c>
      <c r="C53" s="7" t="s">
        <v>86</v>
      </c>
      <c r="D53" s="40" t="n">
        <f aca="false">IF(COUNT(D50:D52)=3,D50*D51*D52*Invoer!D36,"n.a.")</f>
        <v>110932.469459999</v>
      </c>
      <c r="E53" s="40" t="n">
        <f aca="false">IF(COUNT(E50:E52)=3,E50*E51*E52*Invoer!E36,"n.a.")</f>
        <v>110932.469459999</v>
      </c>
      <c r="F53" s="40" t="n">
        <f aca="false">IF(COUNT(F50:F52)=3,F50*F51*F52*Invoer!F36,"n.a.")</f>
        <v>110932.469459999</v>
      </c>
      <c r="G53" s="7"/>
      <c r="H53" s="7" t="s">
        <v>942</v>
      </c>
    </row>
    <row r="54" customFormat="false" ht="30.75" hidden="false" customHeight="true" outlineLevel="0" collapsed="false">
      <c r="A54" s="6" t="s">
        <v>943</v>
      </c>
      <c r="B54" s="7" t="s">
        <v>944</v>
      </c>
      <c r="C54" s="7" t="s">
        <v>86</v>
      </c>
      <c r="D54" s="40" t="n">
        <f aca="false">IF(COUNT(D47,D53)=2,SUM(D47,D53),"n.a.")</f>
        <v>263613.872424463</v>
      </c>
      <c r="E54" s="40" t="n">
        <f aca="false">IF(COUNT(E47,E53)=2,SUM(E47,E53),"n.a.")</f>
        <v>263613.872424463</v>
      </c>
      <c r="F54" s="40" t="n">
        <f aca="false">IF(COUNT(F47,F53)=2,SUM(F47,F53),"n.a.")</f>
        <v>263613.872424463</v>
      </c>
      <c r="G54" s="7"/>
      <c r="H54" s="7" t="s">
        <v>945</v>
      </c>
    </row>
    <row r="55" customFormat="false" ht="30.75" hidden="false" customHeight="true" outlineLevel="0" collapsed="false">
      <c r="A55" s="6" t="s">
        <v>946</v>
      </c>
      <c r="B55" s="7" t="s">
        <v>947</v>
      </c>
      <c r="C55" s="7" t="s">
        <v>86</v>
      </c>
      <c r="D55" s="40" t="n">
        <f aca="false">IF(COUNT(D54)=1,D54-D9,"n.a.")</f>
        <v>212244.009410764</v>
      </c>
      <c r="E55" s="40" t="n">
        <f aca="false">IF(COUNT(E54)=1,E54-E9,"n.a.")</f>
        <v>160874.146397065</v>
      </c>
      <c r="F55" s="40" t="n">
        <f aca="false">IF(COUNT(F54)=1,F54-F9,"n.a.")</f>
        <v>109504.283383367</v>
      </c>
      <c r="G55" s="7"/>
      <c r="H55" s="7" t="s">
        <v>948</v>
      </c>
    </row>
    <row r="56" customFormat="false" ht="45" hidden="false" customHeight="true" outlineLevel="0" collapsed="false">
      <c r="A56" s="6" t="s">
        <v>949</v>
      </c>
      <c r="B56" s="7" t="s">
        <v>950</v>
      </c>
      <c r="C56" s="7" t="s">
        <v>78</v>
      </c>
      <c r="D56" s="42" t="str">
        <f aca="false">IF(COUNT(D55)=1,IF(D55&gt;=0,"VOLDOET INDICATIEF","OPSLAGTEKORT"),"LOODS INVULLEN")</f>
        <v>VOLDOET INDICATIEF</v>
      </c>
      <c r="E56" s="42" t="str">
        <f aca="false">IF(COUNT(E55)=1,IF(E55&gt;=0,"VOLDOET INDICATIEF","OPSLAGTEKORT"),"LOODS INVULLEN")</f>
        <v>VOLDOET INDICATIEF</v>
      </c>
      <c r="F56" s="42" t="str">
        <f aca="false">IF(COUNT(F55)=1,IF(F55&gt;=0,"VOLDOET INDICATIEF","OPSLAGTEKORT"),"LOODS INVULLEN")</f>
        <v>VOLDOET INDICATIEF</v>
      </c>
      <c r="G56" s="7"/>
      <c r="H56" s="7" t="s">
        <v>951</v>
      </c>
    </row>
    <row r="57" customFormat="false" ht="30.75" hidden="false" customHeight="true" outlineLevel="0" collapsed="false">
      <c r="A57" s="6"/>
      <c r="B57" s="7"/>
      <c r="C57" s="7"/>
      <c r="D57" s="40"/>
      <c r="E57" s="40"/>
      <c r="F57" s="40"/>
      <c r="G57" s="7"/>
      <c r="H57" s="7"/>
    </row>
    <row r="58" customFormat="false" ht="24.75" hidden="false" customHeight="true" outlineLevel="0" collapsed="false">
      <c r="A58" s="12" t="s">
        <v>952</v>
      </c>
      <c r="B58" s="13"/>
      <c r="C58" s="13"/>
      <c r="D58" s="45"/>
      <c r="E58" s="45"/>
      <c r="F58" s="45"/>
      <c r="G58" s="13"/>
      <c r="H58" s="13"/>
    </row>
    <row r="59" customFormat="false" ht="31.5" hidden="false" customHeight="true" outlineLevel="0" collapsed="false">
      <c r="A59" s="5" t="s">
        <v>3</v>
      </c>
      <c r="B59" s="5" t="s">
        <v>683</v>
      </c>
      <c r="C59" s="5" t="s">
        <v>5</v>
      </c>
      <c r="D59" s="46" t="s">
        <v>6</v>
      </c>
      <c r="E59" s="46" t="s">
        <v>7</v>
      </c>
      <c r="F59" s="46" t="s">
        <v>8</v>
      </c>
      <c r="G59" s="5" t="s">
        <v>114</v>
      </c>
      <c r="H59" s="5" t="s">
        <v>672</v>
      </c>
    </row>
    <row r="60" customFormat="false" ht="30.75" hidden="false" customHeight="true" outlineLevel="0" collapsed="false">
      <c r="A60" s="6" t="s">
        <v>953</v>
      </c>
      <c r="B60" s="7" t="s">
        <v>438</v>
      </c>
      <c r="C60" s="7" t="s">
        <v>30</v>
      </c>
      <c r="D60" s="40" t="n">
        <f aca="false">Invoer!D46</f>
        <v>30.2103675000326</v>
      </c>
      <c r="E60" s="40" t="n">
        <f aca="false">Invoer!E46</f>
        <v>30.2103675000326</v>
      </c>
      <c r="F60" s="40" t="n">
        <f aca="false">Invoer!F46</f>
        <v>30.2103675000326</v>
      </c>
      <c r="G60" s="7"/>
      <c r="H60" s="7" t="s">
        <v>954</v>
      </c>
    </row>
    <row r="61" customFormat="false" ht="30.75" hidden="false" customHeight="true" outlineLevel="0" collapsed="false">
      <c r="A61" s="6" t="s">
        <v>955</v>
      </c>
      <c r="B61" s="7" t="s">
        <v>956</v>
      </c>
      <c r="C61" s="7" t="s">
        <v>30</v>
      </c>
      <c r="D61" s="40" t="n">
        <f aca="false">D60-D16</f>
        <v>24.440504486334</v>
      </c>
      <c r="E61" s="40" t="n">
        <f aca="false">E60-E16</f>
        <v>13.5418743493477</v>
      </c>
      <c r="F61" s="40" t="n">
        <f aca="false">F60-F16</f>
        <v>3.28434010277233</v>
      </c>
      <c r="G61" s="7"/>
      <c r="H61" s="7" t="s">
        <v>957</v>
      </c>
    </row>
    <row r="62" customFormat="false" ht="30.75" hidden="false" customHeight="true" outlineLevel="0" collapsed="false">
      <c r="A62" s="6" t="s">
        <v>958</v>
      </c>
      <c r="B62" s="7" t="s">
        <v>959</v>
      </c>
      <c r="C62" s="7" t="s">
        <v>196</v>
      </c>
      <c r="D62" s="40" t="n">
        <f aca="false">Invoer!D114</f>
        <v>121224.24776812</v>
      </c>
      <c r="E62" s="40" t="n">
        <f aca="false">Invoer!E114</f>
        <v>121224.24776812</v>
      </c>
      <c r="F62" s="40" t="n">
        <f aca="false">Invoer!F114</f>
        <v>121224.24776812</v>
      </c>
      <c r="G62" s="7"/>
      <c r="H62" s="7" t="s">
        <v>960</v>
      </c>
    </row>
    <row r="63" customFormat="false" ht="30.75" hidden="false" customHeight="true" outlineLevel="0" collapsed="false">
      <c r="A63" s="6" t="s">
        <v>961</v>
      </c>
      <c r="B63" s="7" t="s">
        <v>962</v>
      </c>
      <c r="C63" s="7" t="s">
        <v>82</v>
      </c>
      <c r="D63" s="41" t="n">
        <f aca="false">ROUNDDOWN(D62/Invoer!D148,0)</f>
        <v>9697</v>
      </c>
      <c r="E63" s="41" t="n">
        <f aca="false">ROUNDDOWN(E62/Invoer!E148,0)</f>
        <v>9697</v>
      </c>
      <c r="F63" s="41" t="n">
        <f aca="false">ROUNDDOWN(F62/Invoer!F148,0)</f>
        <v>9697</v>
      </c>
      <c r="G63" s="7"/>
      <c r="H63" s="7" t="s">
        <v>963</v>
      </c>
    </row>
    <row r="64" customFormat="false" ht="30.75" hidden="false" customHeight="true" outlineLevel="0" collapsed="false">
      <c r="A64" s="6" t="s">
        <v>964</v>
      </c>
      <c r="B64" s="7" t="s">
        <v>965</v>
      </c>
      <c r="C64" s="7" t="s">
        <v>82</v>
      </c>
      <c r="D64" s="41" t="n">
        <f aca="false">ROUNDUP(D15,0)</f>
        <v>1603</v>
      </c>
      <c r="E64" s="41" t="n">
        <f aca="false">ROUNDUP(E15,0)</f>
        <v>4631</v>
      </c>
      <c r="F64" s="41" t="n">
        <f aca="false">ROUNDUP(F15,0)</f>
        <v>7480</v>
      </c>
      <c r="G64" s="7"/>
      <c r="H64" s="7" t="s">
        <v>966</v>
      </c>
    </row>
    <row r="65" customFormat="false" ht="30.75" hidden="false" customHeight="true" outlineLevel="0" collapsed="false">
      <c r="A65" s="6" t="s">
        <v>967</v>
      </c>
      <c r="B65" s="7" t="s">
        <v>968</v>
      </c>
      <c r="C65" s="7" t="s">
        <v>82</v>
      </c>
      <c r="D65" s="41" t="n">
        <f aca="false">D63-D64</f>
        <v>8094</v>
      </c>
      <c r="E65" s="41" t="n">
        <f aca="false">E63-E64</f>
        <v>5066</v>
      </c>
      <c r="F65" s="41" t="n">
        <f aca="false">F63-F64</f>
        <v>2217</v>
      </c>
      <c r="G65" s="7"/>
      <c r="H65" s="7" t="s">
        <v>969</v>
      </c>
    </row>
    <row r="66" customFormat="false" ht="30.75" hidden="false" customHeight="true" outlineLevel="0" collapsed="false">
      <c r="A66" s="6" t="s">
        <v>970</v>
      </c>
      <c r="B66" s="7" t="s">
        <v>971</v>
      </c>
      <c r="C66" s="7" t="s">
        <v>246</v>
      </c>
      <c r="D66" s="40" t="n">
        <f aca="false">D62/D64</f>
        <v>75.6233610531001</v>
      </c>
      <c r="E66" s="40" t="n">
        <f aca="false">E62/E64</f>
        <v>26.1766892179053</v>
      </c>
      <c r="F66" s="40" t="n">
        <f aca="false">F62/F64</f>
        <v>16.2064502363796</v>
      </c>
      <c r="G66" s="7"/>
      <c r="H66" s="7" t="s">
        <v>972</v>
      </c>
    </row>
    <row r="67" customFormat="false" ht="45.75" hidden="false" customHeight="true" outlineLevel="0" collapsed="false">
      <c r="A67" s="6" t="s">
        <v>973</v>
      </c>
      <c r="B67" s="7" t="s">
        <v>974</v>
      </c>
      <c r="C67" s="7" t="s">
        <v>78</v>
      </c>
      <c r="D67" s="42" t="str">
        <f aca="false">IF(D65&gt;=0,"VOLDOET INDICATIEF","PARKEERCAPACITEIT TEKORT")</f>
        <v>VOLDOET INDICATIEF</v>
      </c>
      <c r="E67" s="42" t="str">
        <f aca="false">IF(E65&gt;=0,"VOLDOET INDICATIEF","PARKEERCAPACITEIT TEKORT")</f>
        <v>VOLDOET INDICATIEF</v>
      </c>
      <c r="F67" s="42" t="str">
        <f aca="false">IF(F65&gt;=0,"VOLDOET INDICATIEF","PARKEERCAPACITEIT TEKORT")</f>
        <v>VOLDOET INDICATIEF</v>
      </c>
      <c r="G67" s="7"/>
      <c r="H67" s="7" t="s">
        <v>975</v>
      </c>
    </row>
    <row r="68" customFormat="false" ht="30.75" hidden="false" customHeight="true" outlineLevel="0" collapsed="false">
      <c r="A68" s="6"/>
      <c r="B68" s="7"/>
      <c r="C68" s="7"/>
      <c r="D68" s="40"/>
      <c r="E68" s="40"/>
      <c r="F68" s="40"/>
      <c r="G68" s="7"/>
      <c r="H68" s="7"/>
    </row>
    <row r="69" customFormat="false" ht="24.75" hidden="false" customHeight="true" outlineLevel="0" collapsed="false">
      <c r="A69" s="12" t="s">
        <v>976</v>
      </c>
      <c r="B69" s="13"/>
      <c r="C69" s="13"/>
      <c r="D69" s="45"/>
      <c r="E69" s="45"/>
      <c r="F69" s="45"/>
      <c r="G69" s="13"/>
      <c r="H69" s="13"/>
    </row>
    <row r="70" customFormat="false" ht="31.5" hidden="false" customHeight="true" outlineLevel="0" collapsed="false">
      <c r="A70" s="5" t="s">
        <v>3</v>
      </c>
      <c r="B70" s="5" t="s">
        <v>683</v>
      </c>
      <c r="C70" s="5" t="s">
        <v>5</v>
      </c>
      <c r="D70" s="46" t="s">
        <v>6</v>
      </c>
      <c r="E70" s="46" t="s">
        <v>7</v>
      </c>
      <c r="F70" s="46" t="s">
        <v>8</v>
      </c>
      <c r="G70" s="5" t="s">
        <v>114</v>
      </c>
      <c r="H70" s="5" t="s">
        <v>672</v>
      </c>
    </row>
    <row r="71" customFormat="false" ht="30.75" hidden="false" customHeight="true" outlineLevel="0" collapsed="false">
      <c r="A71" s="6" t="s">
        <v>977</v>
      </c>
      <c r="B71" s="7" t="s">
        <v>447</v>
      </c>
      <c r="C71" s="7" t="s">
        <v>30</v>
      </c>
      <c r="D71" s="40" t="n">
        <f aca="false">Invoer!D115</f>
        <v>54.8559907833284</v>
      </c>
      <c r="E71" s="40" t="n">
        <f aca="false">Invoer!E115</f>
        <v>54.8559907833284</v>
      </c>
      <c r="F71" s="40" t="n">
        <f aca="false">Invoer!F115</f>
        <v>54.8559907833284</v>
      </c>
      <c r="G71" s="7"/>
      <c r="H71" s="7" t="s">
        <v>978</v>
      </c>
    </row>
    <row r="72" customFormat="false" ht="30.75" hidden="false" customHeight="true" outlineLevel="0" collapsed="false">
      <c r="A72" s="6" t="s">
        <v>979</v>
      </c>
      <c r="B72" s="7" t="s">
        <v>980</v>
      </c>
      <c r="C72" s="7" t="s">
        <v>12</v>
      </c>
      <c r="D72" s="41" t="n">
        <f aca="false">Invoer!D133</f>
        <v>4</v>
      </c>
      <c r="E72" s="41" t="n">
        <f aca="false">Invoer!E133</f>
        <v>4</v>
      </c>
      <c r="F72" s="41" t="n">
        <f aca="false">Invoer!F133</f>
        <v>4</v>
      </c>
      <c r="G72" s="7"/>
      <c r="H72" s="7" t="s">
        <v>981</v>
      </c>
    </row>
    <row r="73" customFormat="false" ht="30.75" hidden="false" customHeight="true" outlineLevel="0" collapsed="false">
      <c r="A73" s="6" t="s">
        <v>982</v>
      </c>
      <c r="B73" s="7" t="s">
        <v>509</v>
      </c>
      <c r="C73" s="7" t="s">
        <v>12</v>
      </c>
      <c r="D73" s="41" t="n">
        <f aca="false">Invoer!D134</f>
        <v>3</v>
      </c>
      <c r="E73" s="41" t="n">
        <f aca="false">Invoer!E134</f>
        <v>3</v>
      </c>
      <c r="F73" s="41" t="n">
        <f aca="false">Invoer!F134</f>
        <v>3</v>
      </c>
      <c r="G73" s="7"/>
      <c r="H73" s="7" t="s">
        <v>983</v>
      </c>
    </row>
    <row r="74" customFormat="false" ht="30.75" hidden="false" customHeight="true" outlineLevel="0" collapsed="false">
      <c r="A74" s="6" t="s">
        <v>984</v>
      </c>
      <c r="B74" s="7" t="s">
        <v>985</v>
      </c>
      <c r="C74" s="7" t="s">
        <v>12</v>
      </c>
      <c r="D74" s="41" t="n">
        <f aca="false">Invoer!D51</f>
        <v>3</v>
      </c>
      <c r="E74" s="41" t="n">
        <f aca="false">Invoer!E51</f>
        <v>3</v>
      </c>
      <c r="F74" s="41" t="n">
        <f aca="false">Invoer!F51</f>
        <v>3</v>
      </c>
      <c r="G74" s="7"/>
      <c r="H74" s="7" t="s">
        <v>986</v>
      </c>
    </row>
    <row r="75" customFormat="false" ht="30.75" hidden="false" customHeight="true" outlineLevel="0" collapsed="false">
      <c r="A75" s="6" t="s">
        <v>987</v>
      </c>
      <c r="B75" s="7" t="s">
        <v>988</v>
      </c>
      <c r="C75" s="7" t="s">
        <v>23</v>
      </c>
      <c r="D75" s="40" t="n">
        <f aca="false">Invoer!D135</f>
        <v>400</v>
      </c>
      <c r="E75" s="40" t="n">
        <f aca="false">Invoer!E135</f>
        <v>400</v>
      </c>
      <c r="F75" s="40" t="n">
        <f aca="false">Invoer!F135</f>
        <v>400</v>
      </c>
      <c r="G75" s="7"/>
      <c r="H75" s="7" t="s">
        <v>989</v>
      </c>
    </row>
    <row r="76" customFormat="false" ht="30.75" hidden="false" customHeight="true" outlineLevel="0" collapsed="false">
      <c r="A76" s="6" t="s">
        <v>990</v>
      </c>
      <c r="B76" s="7" t="s">
        <v>991</v>
      </c>
      <c r="C76" s="7" t="s">
        <v>23</v>
      </c>
      <c r="D76" s="40" t="n">
        <f aca="false">Invoer!D136</f>
        <v>120</v>
      </c>
      <c r="E76" s="40" t="n">
        <f aca="false">Invoer!E136</f>
        <v>120</v>
      </c>
      <c r="F76" s="40" t="n">
        <f aca="false">Invoer!F136</f>
        <v>120</v>
      </c>
      <c r="G76" s="7"/>
      <c r="H76" s="7" t="s">
        <v>992</v>
      </c>
    </row>
    <row r="77" customFormat="false" ht="45" hidden="false" customHeight="true" outlineLevel="0" collapsed="false">
      <c r="A77" s="6" t="s">
        <v>993</v>
      </c>
      <c r="B77" s="7" t="s">
        <v>994</v>
      </c>
      <c r="C77" s="7" t="s">
        <v>78</v>
      </c>
      <c r="D77" s="42" t="str">
        <f aca="false">IF(D27&gt;=0,"VOLDOET REKENKUNDIG","N-1 OPSLAGTEKORT")</f>
        <v>VOLDOET REKENKUNDIG</v>
      </c>
      <c r="E77" s="42" t="str">
        <f aca="false">IF(E27&gt;=0,"VOLDOET REKENKUNDIG","N-1 OPSLAGTEKORT")</f>
        <v>VOLDOET REKENKUNDIG</v>
      </c>
      <c r="F77" s="42" t="str">
        <f aca="false">IF(F27&gt;=0,"VOLDOET REKENKUNDIG","N-1 OPSLAGTEKORT")</f>
        <v>N-1 OPSLAGTEKORT</v>
      </c>
      <c r="G77" s="7"/>
      <c r="H77" s="7" t="s">
        <v>995</v>
      </c>
    </row>
    <row r="78" customFormat="false" ht="30.75" hidden="false" customHeight="true" outlineLevel="0" collapsed="false">
      <c r="A78" s="6" t="s">
        <v>996</v>
      </c>
      <c r="B78" s="7" t="s">
        <v>450</v>
      </c>
      <c r="C78" s="7" t="s">
        <v>30</v>
      </c>
      <c r="D78" s="40" t="n">
        <f aca="false">Invoer!D116</f>
        <v>43.5029291999776</v>
      </c>
      <c r="E78" s="40" t="n">
        <f aca="false">Invoer!E116</f>
        <v>43.5029291999776</v>
      </c>
      <c r="F78" s="40" t="n">
        <f aca="false">Invoer!F116</f>
        <v>43.5029291999776</v>
      </c>
      <c r="G78" s="7"/>
      <c r="H78" s="7" t="s">
        <v>997</v>
      </c>
    </row>
    <row r="79" customFormat="false" ht="30.75" hidden="false" customHeight="true" outlineLevel="0" collapsed="false">
      <c r="A79" s="6" t="s">
        <v>998</v>
      </c>
      <c r="B79" s="7" t="s">
        <v>518</v>
      </c>
      <c r="C79" s="7" t="s">
        <v>12</v>
      </c>
      <c r="D79" s="41" t="n">
        <f aca="false">Invoer!D137</f>
        <v>4</v>
      </c>
      <c r="E79" s="41" t="n">
        <f aca="false">Invoer!E137</f>
        <v>4</v>
      </c>
      <c r="F79" s="41" t="n">
        <f aca="false">Invoer!F137</f>
        <v>4</v>
      </c>
      <c r="G79" s="7"/>
      <c r="H79" s="7" t="s">
        <v>999</v>
      </c>
    </row>
    <row r="80" customFormat="false" ht="30.75" hidden="false" customHeight="true" outlineLevel="0" collapsed="false">
      <c r="A80" s="6" t="s">
        <v>1000</v>
      </c>
      <c r="B80" s="7" t="s">
        <v>1001</v>
      </c>
      <c r="C80" s="7" t="s">
        <v>19</v>
      </c>
      <c r="D80" s="44" t="n">
        <f aca="false">MAX(0,D79-1)*Invoer!D138</f>
        <v>0.99</v>
      </c>
      <c r="E80" s="44" t="n">
        <f aca="false">MAX(0,E79-1)*Invoer!E138</f>
        <v>0.99</v>
      </c>
      <c r="F80" s="44" t="n">
        <f aca="false">MAX(0,F79-1)*Invoer!F138</f>
        <v>0.99</v>
      </c>
      <c r="G80" s="7"/>
      <c r="H80" s="7" t="s">
        <v>1002</v>
      </c>
    </row>
    <row r="81" customFormat="false" ht="30.75" hidden="false" customHeight="true" outlineLevel="0" collapsed="false">
      <c r="A81" s="6" t="s">
        <v>1003</v>
      </c>
      <c r="B81" s="7" t="s">
        <v>1004</v>
      </c>
      <c r="C81" s="7" t="s">
        <v>525</v>
      </c>
      <c r="D81" s="40" t="n">
        <f aca="false">Invoer!D9/(Invoer!D10*24)</f>
        <v>456.62100456621</v>
      </c>
      <c r="E81" s="40" t="n">
        <f aca="false">Invoer!E9/(Invoer!E10*24)</f>
        <v>684.931506849315</v>
      </c>
      <c r="F81" s="40" t="n">
        <f aca="false">Invoer!F9/(Invoer!F10*24)</f>
        <v>913.24200913242</v>
      </c>
      <c r="G81" s="7"/>
      <c r="H81" s="7" t="s">
        <v>1005</v>
      </c>
    </row>
    <row r="82" customFormat="false" ht="30.75" hidden="false" customHeight="true" outlineLevel="0" collapsed="false">
      <c r="A82" s="6" t="s">
        <v>1006</v>
      </c>
      <c r="B82" s="7" t="s">
        <v>524</v>
      </c>
      <c r="C82" s="7" t="s">
        <v>525</v>
      </c>
      <c r="D82" s="40" t="str">
        <f aca="false">IF(COUNT(Invoer!D139)=1,Invoer!D139,"n.a.")</f>
        <v>n.a.</v>
      </c>
      <c r="E82" s="40" t="str">
        <f aca="false">IF(COUNT(Invoer!E139)=1,Invoer!E139,"n.a.")</f>
        <v>n.a.</v>
      </c>
      <c r="F82" s="40" t="str">
        <f aca="false">IF(COUNT(Invoer!F139)=1,Invoer!F139,"n.a.")</f>
        <v>n.a.</v>
      </c>
      <c r="G82" s="7"/>
      <c r="H82" s="7" t="s">
        <v>1007</v>
      </c>
    </row>
    <row r="83" customFormat="false" ht="30.75" hidden="false" customHeight="true" outlineLevel="0" collapsed="false">
      <c r="A83" s="6" t="s">
        <v>1008</v>
      </c>
      <c r="B83" s="7" t="s">
        <v>1009</v>
      </c>
      <c r="C83" s="7" t="s">
        <v>525</v>
      </c>
      <c r="D83" s="40" t="str">
        <f aca="false">IF(COUNT(D82)=1,MAX(0,D79-1)*D82,"n.a.")</f>
        <v>n.a.</v>
      </c>
      <c r="E83" s="40" t="str">
        <f aca="false">IF(COUNT(E82)=1,MAX(0,E79-1)*E82,"n.a.")</f>
        <v>n.a.</v>
      </c>
      <c r="F83" s="40" t="str">
        <f aca="false">IF(COUNT(F82)=1,MAX(0,F79-1)*F82,"n.a.")</f>
        <v>n.a.</v>
      </c>
      <c r="G83" s="7"/>
      <c r="H83" s="7" t="s">
        <v>1010</v>
      </c>
    </row>
    <row r="84" customFormat="false" ht="30.75" hidden="false" customHeight="true" outlineLevel="0" collapsed="false">
      <c r="A84" s="6" t="s">
        <v>1011</v>
      </c>
      <c r="B84" s="7" t="s">
        <v>1012</v>
      </c>
      <c r="C84" s="7" t="s">
        <v>525</v>
      </c>
      <c r="D84" s="40" t="str">
        <f aca="false">IF(COUNT(D83)=1,D83-D81,"n.a.")</f>
        <v>n.a.</v>
      </c>
      <c r="E84" s="40" t="str">
        <f aca="false">IF(COUNT(E83)=1,E83-E81,"n.a.")</f>
        <v>n.a.</v>
      </c>
      <c r="F84" s="40" t="str">
        <f aca="false">IF(COUNT(F83)=1,F83-F81,"n.a.")</f>
        <v>n.a.</v>
      </c>
      <c r="G84" s="7"/>
      <c r="H84" s="7" t="s">
        <v>1013</v>
      </c>
    </row>
    <row r="85" customFormat="false" ht="30.75" hidden="false" customHeight="true" outlineLevel="0" collapsed="false">
      <c r="A85" s="6"/>
      <c r="B85" s="7"/>
      <c r="C85" s="7"/>
      <c r="D85" s="10"/>
      <c r="E85" s="10"/>
      <c r="F85" s="10"/>
      <c r="G85" s="7"/>
      <c r="H85" s="7"/>
    </row>
    <row r="86" customFormat="false" ht="30.75" hidden="false" customHeight="true" outlineLevel="0" collapsed="false">
      <c r="A86" s="6"/>
      <c r="B86" s="7"/>
      <c r="C86" s="7"/>
      <c r="D86" s="10"/>
      <c r="E86" s="10"/>
      <c r="F86" s="10"/>
      <c r="G86" s="7"/>
      <c r="H86" s="7"/>
    </row>
    <row r="87" customFormat="false" ht="30.75" hidden="false" customHeight="true" outlineLevel="0" collapsed="false">
      <c r="A87" s="6"/>
      <c r="B87" s="7"/>
      <c r="C87" s="7"/>
      <c r="D87" s="10"/>
      <c r="E87" s="10"/>
      <c r="F87" s="10"/>
      <c r="G87" s="7"/>
      <c r="H87" s="7"/>
    </row>
    <row r="88" customFormat="false" ht="30.75" hidden="false" customHeight="true" outlineLevel="0" collapsed="false">
      <c r="A88" s="6"/>
      <c r="B88" s="7"/>
      <c r="C88" s="7"/>
      <c r="D88" s="10"/>
      <c r="E88" s="10"/>
      <c r="F88" s="10"/>
      <c r="G88" s="7"/>
      <c r="H88" s="7"/>
    </row>
    <row r="89" customFormat="false" ht="30.75" hidden="false" customHeight="true" outlineLevel="0" collapsed="false">
      <c r="A89" s="6"/>
      <c r="B89" s="7"/>
      <c r="C89" s="7"/>
      <c r="D89" s="10"/>
      <c r="E89" s="10"/>
      <c r="F89" s="10"/>
      <c r="G89" s="7"/>
      <c r="H89" s="7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</row>
  </sheetData>
  <conditionalFormatting sqref="D27:F27">
    <cfRule type="cellIs" priority="2" operator="lessThan" aboveAverage="0" equalAverage="0" bottom="0" percent="0" rank="0" text="" dxfId="0">
      <formula>0</formula>
    </cfRule>
  </conditionalFormatting>
  <conditionalFormatting sqref="D48:F48">
    <cfRule type="cellIs" priority="3" operator="lessThan" aboveAverage="0" equalAverage="0" bottom="0" percent="0" rank="0" text="" dxfId="1">
      <formula>0</formula>
    </cfRule>
  </conditionalFormatting>
  <conditionalFormatting sqref="D55:F55">
    <cfRule type="cellIs" priority="4" operator="lessThan" aboveAverage="0" equalAverage="0" bottom="0" percent="0" rank="0" text="" dxfId="1">
      <formula>0</formula>
    </cfRule>
  </conditionalFormatting>
  <conditionalFormatting sqref="D65:F65">
    <cfRule type="cellIs" priority="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9"/>
    <col collapsed="false" customWidth="true" hidden="false" outlineLevel="0" max="3" min="3" style="0" width="18"/>
    <col collapsed="false" customWidth="true" hidden="false" outlineLevel="0" max="6" min="4" style="0" width="17"/>
    <col collapsed="false" customWidth="true" hidden="false" outlineLevel="0" max="7" min="7" style="0" width="24"/>
    <col collapsed="false" customWidth="true" hidden="false" outlineLevel="0" max="8" min="8" style="0" width="6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8.55" hidden="false" customHeight="false" outlineLevel="0" collapsed="false">
      <c r="A2" s="2" t="s">
        <v>1014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 t="s">
        <v>1</v>
      </c>
      <c r="C3" s="3"/>
      <c r="D3" s="4" t="n">
        <f aca="false">Invoer!$D$3</f>
        <v>3</v>
      </c>
      <c r="E3" s="3"/>
      <c r="F3" s="3"/>
      <c r="G3" s="3"/>
      <c r="H3" s="3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31.5" hidden="false" customHeight="true" outlineLevel="0" collapsed="false">
      <c r="A5" s="5" t="s">
        <v>1015</v>
      </c>
      <c r="B5" s="5" t="s">
        <v>1016</v>
      </c>
      <c r="C5" s="5" t="s">
        <v>1017</v>
      </c>
      <c r="D5" s="16" t="s">
        <v>1018</v>
      </c>
      <c r="E5" s="16" t="s">
        <v>1019</v>
      </c>
      <c r="F5" s="16" t="s">
        <v>1020</v>
      </c>
      <c r="G5" s="5" t="s">
        <v>114</v>
      </c>
      <c r="H5" s="5" t="s">
        <v>1021</v>
      </c>
    </row>
    <row r="6" customFormat="false" ht="54.75" hidden="false" customHeight="true" outlineLevel="0" collapsed="false">
      <c r="A6" s="6" t="s">
        <v>1022</v>
      </c>
      <c r="B6" s="7" t="s">
        <v>1023</v>
      </c>
      <c r="C6" s="47" t="n">
        <v>4558615.25</v>
      </c>
      <c r="D6" s="31" t="n">
        <v>13.97</v>
      </c>
      <c r="E6" s="10" t="n">
        <f aca="false">Invoer!D101</f>
        <v>18.2</v>
      </c>
      <c r="F6" s="10" t="n">
        <f aca="false">IF(COUNT(C6:E6)=3,C6*MAX(0,E6-D6),"")</f>
        <v>19282942.5075</v>
      </c>
      <c r="G6" s="7" t="str">
        <f aca="false">IF(COUNT(C6,E6)&lt;2,"CONTOUR OF DIEPTE KIEZEN",IF(COUNT(D6)&lt;1,"BODEMGEGEVENS ONTBREKEN","VOORLOPIGE SCHATTING"))</f>
        <v>VOORLOPIGE SCHATTING</v>
      </c>
      <c r="H6" s="7" t="s">
        <v>1024</v>
      </c>
    </row>
    <row r="7" customFormat="false" ht="54.75" hidden="false" customHeight="true" outlineLevel="0" collapsed="false">
      <c r="A7" s="6" t="s">
        <v>1025</v>
      </c>
      <c r="B7" s="7" t="s">
        <v>1026</v>
      </c>
      <c r="C7" s="47" t="n">
        <v>902302.78</v>
      </c>
      <c r="D7" s="31" t="n">
        <v>0.75</v>
      </c>
      <c r="E7" s="10" t="n">
        <f aca="false">Invoer!D101</f>
        <v>18.2</v>
      </c>
      <c r="F7" s="10" t="n">
        <f aca="false">IF(COUNT(C7:E7)=3,C7*MAX(0,E7-D7),"")</f>
        <v>15745183.511</v>
      </c>
      <c r="G7" s="7" t="str">
        <f aca="false">IF(COUNT(C7,E7)&lt;2,"CONTOUR OF DIEPTE KIEZEN",IF(COUNT(D7)&lt;1,"BODEMGEGEVENS ONTBREKEN","VOORLOPIGE SCHATTING"))</f>
        <v>VOORLOPIGE SCHATTING</v>
      </c>
      <c r="H7" s="7" t="s">
        <v>1027</v>
      </c>
    </row>
    <row r="8" customFormat="false" ht="54.75" hidden="false" customHeight="true" outlineLevel="0" collapsed="false">
      <c r="A8" s="6" t="s">
        <v>1028</v>
      </c>
      <c r="B8" s="7" t="s">
        <v>1029</v>
      </c>
      <c r="C8" s="47" t="n">
        <f aca="false">Invoer!D146-Invoer!D147</f>
        <v>713446</v>
      </c>
      <c r="D8" s="31" t="n">
        <v>-6.89</v>
      </c>
      <c r="E8" s="10" t="n">
        <f aca="false">Invoer!D101</f>
        <v>18.2</v>
      </c>
      <c r="F8" s="10" t="n">
        <f aca="false">IF(COUNT(C8:E8)=3,C8*MAX(0,E8-D8),"")</f>
        <v>17900360.14</v>
      </c>
      <c r="G8" s="7" t="str">
        <f aca="false">IF(COUNT(C8,E8)&lt;2,"CONTOUR OF DIEPTE KIEZEN",IF(COUNT(D8)&lt;1,"BODEMGEGEVENS ONTBREKEN","VOORLOPIGE SCHATTING"))</f>
        <v>VOORLOPIGE SCHATTING</v>
      </c>
      <c r="H8" s="7" t="s">
        <v>1030</v>
      </c>
    </row>
    <row r="9" customFormat="false" ht="54.75" hidden="false" customHeight="true" outlineLevel="0" collapsed="false">
      <c r="A9" s="6" t="s">
        <v>1031</v>
      </c>
      <c r="B9" s="7" t="s">
        <v>1032</v>
      </c>
      <c r="C9" s="47" t="n">
        <v>379594.82</v>
      </c>
      <c r="D9" s="31" t="n">
        <v>2.48</v>
      </c>
      <c r="E9" s="10" t="n">
        <f aca="false">Invoer!D102</f>
        <v>16.2</v>
      </c>
      <c r="F9" s="10" t="n">
        <f aca="false">IF(COUNT(C9:E9)=3,C9*MAX(0,E9-D9),"")</f>
        <v>5208040.9304</v>
      </c>
      <c r="G9" s="7" t="str">
        <f aca="false">IF(COUNT(C9,E9)&lt;2,"CONTOUR OF DIEPTE KIEZEN",IF(COUNT(D9)&lt;1,"BODEMGEGEVENS ONTBREKEN","VOORLOPIGE SCHATTING"))</f>
        <v>VOORLOPIGE SCHATTING</v>
      </c>
      <c r="H9" s="7" t="s">
        <v>1033</v>
      </c>
    </row>
    <row r="10" customFormat="false" ht="54.75" hidden="false" customHeight="true" outlineLevel="0" collapsed="false">
      <c r="A10" s="6" t="s">
        <v>1034</v>
      </c>
      <c r="B10" s="7" t="s">
        <v>1035</v>
      </c>
      <c r="C10" s="47" t="n">
        <v>222247.6</v>
      </c>
      <c r="D10" s="31" t="n">
        <v>-5.94</v>
      </c>
      <c r="E10" s="10" t="n">
        <f aca="false">Invoer!D101</f>
        <v>18.2</v>
      </c>
      <c r="F10" s="10" t="n">
        <f aca="false">IF(COUNT(C10:E10)=3,C10*MAX(0,E10-D10),"")</f>
        <v>5365057.064</v>
      </c>
      <c r="G10" s="7" t="str">
        <f aca="false">IF(COUNT(C10,E10)&lt;2,"CONTOUR OF DIEPTE KIEZEN",IF(COUNT(D10)&lt;1,"BODEMGEGEVENS ONTBREKEN","VOORLOPIGE SCHATTING"))</f>
        <v>VOORLOPIGE SCHATTING</v>
      </c>
      <c r="H10" s="7" t="s">
        <v>1036</v>
      </c>
    </row>
    <row r="11" customFormat="false" ht="54.75" hidden="false" customHeight="true" outlineLevel="0" collapsed="false">
      <c r="A11" s="6" t="s">
        <v>1037</v>
      </c>
      <c r="B11" s="7" t="s">
        <v>1038</v>
      </c>
      <c r="C11" s="47" t="n">
        <v>230404.4</v>
      </c>
      <c r="D11" s="31" t="n">
        <v>-6.5</v>
      </c>
      <c r="E11" s="10" t="n">
        <f aca="false">Invoer!D101</f>
        <v>18.2</v>
      </c>
      <c r="F11" s="10" t="n">
        <f aca="false">IF(COUNT(C11:E11)=3,C11*MAX(0,E11-D11),"")</f>
        <v>5690988.68</v>
      </c>
      <c r="G11" s="7" t="str">
        <f aca="false">IF(COUNT(C11,E11)&lt;2,"CONTOUR OF DIEPTE KIEZEN",IF(COUNT(D11)&lt;1,"BODEMGEGEVENS ONTBREKEN","VOORLOPIGE SCHATTING"))</f>
        <v>VOORLOPIGE SCHATTING</v>
      </c>
      <c r="H11" s="7" t="s">
        <v>1039</v>
      </c>
    </row>
    <row r="12" customFormat="false" ht="54.75" hidden="false" customHeight="true" outlineLevel="0" collapsed="false">
      <c r="A12" s="6" t="s">
        <v>1040</v>
      </c>
      <c r="B12" s="7" t="s">
        <v>1041</v>
      </c>
      <c r="C12" s="47" t="n">
        <v>22355.67</v>
      </c>
      <c r="D12" s="31" t="n">
        <v>-6.47</v>
      </c>
      <c r="E12" s="10" t="n">
        <f aca="false">Invoer!D103</f>
        <v>13.7</v>
      </c>
      <c r="F12" s="10" t="n">
        <f aca="false">IF(COUNT(C12:E12)=3,C12*MAX(0,E12-D12),"")</f>
        <v>450913.8639</v>
      </c>
      <c r="G12" s="7" t="str">
        <f aca="false">IF(COUNT(C12,E12)&lt;2,"CONTOUR OF DIEPTE KIEZEN",IF(COUNT(D12)&lt;1,"BODEMGEGEVENS ONTBREKEN","VOORLOPIGE SCHATTING"))</f>
        <v>VOORLOPIGE SCHATTING</v>
      </c>
      <c r="H12" s="7" t="s">
        <v>1042</v>
      </c>
    </row>
    <row r="13" customFormat="false" ht="54.75" hidden="false" customHeight="true" outlineLevel="0" collapsed="false">
      <c r="A13" s="6" t="s">
        <v>1043</v>
      </c>
      <c r="B13" s="7" t="s">
        <v>1044</v>
      </c>
      <c r="C13" s="47" t="n">
        <v>0</v>
      </c>
      <c r="D13" s="31" t="n">
        <v>-7.84</v>
      </c>
      <c r="E13" s="21" t="n">
        <f aca="false">Invoer!D101</f>
        <v>18.2</v>
      </c>
      <c r="F13" s="10" t="n">
        <f aca="false">IF(COUNT(C13:E13)=3,C13*MAX(0,E13-D13),"")</f>
        <v>0</v>
      </c>
      <c r="G13" s="7" t="str">
        <f aca="false">IF(COUNT(C13,E13)&lt;2,"CONTOUR OF DIEPTE KIEZEN",IF(COUNT(D13)&lt;1,"BODEMGEGEVENS ONTBREKEN","VOORLOPIGE SCHATTING"))</f>
        <v>VOORLOPIGE SCHATTING</v>
      </c>
      <c r="H13" s="7" t="s">
        <v>1045</v>
      </c>
    </row>
    <row r="14" customFormat="false" ht="54.75" hidden="false" customHeight="true" outlineLevel="0" collapsed="false">
      <c r="A14" s="6" t="s">
        <v>1046</v>
      </c>
      <c r="B14" s="7" t="s">
        <v>1047</v>
      </c>
      <c r="C14" s="47" t="n">
        <v>472389</v>
      </c>
      <c r="D14" s="31" t="n">
        <v>-6.99</v>
      </c>
      <c r="E14" s="10" t="n">
        <f aca="false">Invoer!D101</f>
        <v>18.2</v>
      </c>
      <c r="F14" s="10" t="n">
        <f aca="false">IF(COUNT(C14:E14)=3,C14*MAX(0,E14-D14),"")</f>
        <v>11899478.91</v>
      </c>
      <c r="G14" s="7" t="str">
        <f aca="false">IF(COUNT(C14,E14)&lt;2,"CONTOUR OF DIEPTE KIEZEN",IF(COUNT(D14)&lt;1,"BODEMGEGEVENS ONTBREKEN","VOORLOPIGE SCHATTING"))</f>
        <v>VOORLOPIGE SCHATTING</v>
      </c>
      <c r="H14" s="7" t="s">
        <v>1048</v>
      </c>
    </row>
    <row r="15" customFormat="false" ht="54.75" hidden="false" customHeight="true" outlineLevel="0" collapsed="false">
      <c r="A15" s="6" t="s">
        <v>1049</v>
      </c>
      <c r="B15" s="7" t="s">
        <v>1050</v>
      </c>
      <c r="C15" s="47" t="n">
        <v>0</v>
      </c>
      <c r="D15" s="31" t="n">
        <v>-6.2</v>
      </c>
      <c r="E15" s="10" t="n">
        <f aca="false">Invoer!D101</f>
        <v>18.2</v>
      </c>
      <c r="F15" s="10" t="n">
        <f aca="false">IF(COUNT(C15:E15)=3,C15*MAX(0,E15-D15),"")</f>
        <v>0</v>
      </c>
      <c r="G15" s="7" t="str">
        <f aca="false">IF(COUNT(C15,E15)&lt;2,"CONTOUR OF DIEPTE KIEZEN",IF(COUNT(D15)&lt;1,"BODEMGEGEVENS ONTBREKEN","VOORLOPIGE SCHATTING"))</f>
        <v>VOORLOPIGE SCHATTING</v>
      </c>
      <c r="H15" s="7" t="s">
        <v>1051</v>
      </c>
    </row>
    <row r="16" customFormat="false" ht="30.75" hidden="false" customHeight="true" outlineLevel="0" collapsed="false">
      <c r="A16" s="6"/>
      <c r="B16" s="7"/>
      <c r="C16" s="15"/>
      <c r="D16" s="10"/>
      <c r="E16" s="10"/>
      <c r="F16" s="10"/>
      <c r="G16" s="7"/>
      <c r="H16" s="7"/>
    </row>
    <row r="17" customFormat="false" ht="45.75" hidden="false" customHeight="true" outlineLevel="0" collapsed="false">
      <c r="A17" s="6"/>
      <c r="B17" s="7" t="s">
        <v>1052</v>
      </c>
      <c r="C17" s="15"/>
      <c r="D17" s="10"/>
      <c r="E17" s="10"/>
      <c r="F17" s="10" t="n">
        <f aca="false">IF(COUNT(F6:F15)=10,SUM(F6:F15),"")</f>
        <v>81542965.6068</v>
      </c>
      <c r="G17" s="7" t="str">
        <f aca="false">IF(COUNT(F6:F15)=10,"VOORLOPIGE SCHATTING","GEEN VOLLEDIG VOLUME")</f>
        <v>VOORLOPIGE SCHATTING</v>
      </c>
      <c r="H17" s="7"/>
    </row>
    <row r="18" customFormat="false" ht="45.75" hidden="false" customHeight="true" outlineLevel="0" collapsed="false">
      <c r="A18" s="6"/>
      <c r="B18" s="7" t="s">
        <v>1053</v>
      </c>
      <c r="C18" s="15" t="n">
        <f aca="false">SUM(C6:C15)</f>
        <v>7501355.52</v>
      </c>
      <c r="D18" s="10"/>
      <c r="E18" s="10"/>
      <c r="F18" s="10"/>
      <c r="G18" s="7"/>
      <c r="H18" s="7" t="s">
        <v>1054</v>
      </c>
    </row>
    <row r="19" customFormat="false" ht="30.75" hidden="false" customHeight="true" outlineLevel="0" collapsed="false">
      <c r="A19" s="6"/>
      <c r="B19" s="7"/>
      <c r="C19" s="7"/>
      <c r="D19" s="10"/>
      <c r="E19" s="10"/>
      <c r="F19" s="10"/>
      <c r="G19" s="7"/>
      <c r="H19" s="7"/>
    </row>
    <row r="20" customFormat="false" ht="30.75" hidden="false" customHeight="true" outlineLevel="0" collapsed="false">
      <c r="A20" s="6"/>
      <c r="B20" s="7"/>
      <c r="C20" s="7"/>
      <c r="D20" s="10"/>
      <c r="E20" s="10"/>
      <c r="F20" s="10"/>
      <c r="G20" s="7"/>
      <c r="H20" s="7"/>
    </row>
    <row r="21" customFormat="false" ht="24.75" hidden="false" customHeight="true" outlineLevel="0" collapsed="false">
      <c r="A21" s="12" t="s">
        <v>1055</v>
      </c>
      <c r="B21" s="13"/>
      <c r="C21" s="13"/>
      <c r="D21" s="14"/>
      <c r="E21" s="14"/>
      <c r="F21" s="14"/>
      <c r="G21" s="13"/>
      <c r="H21" s="13"/>
    </row>
    <row r="22" customFormat="false" ht="31.5" hidden="false" customHeight="true" outlineLevel="0" collapsed="false">
      <c r="A22" s="5" t="s">
        <v>3</v>
      </c>
      <c r="B22" s="5" t="s">
        <v>1056</v>
      </c>
      <c r="C22" s="5" t="s">
        <v>1057</v>
      </c>
      <c r="D22" s="16" t="s">
        <v>1058</v>
      </c>
      <c r="E22" s="16" t="s">
        <v>1059</v>
      </c>
      <c r="F22" s="16" t="s">
        <v>1060</v>
      </c>
      <c r="G22" s="5" t="s">
        <v>671</v>
      </c>
      <c r="H22" s="5" t="s">
        <v>1061</v>
      </c>
    </row>
    <row r="23" customFormat="false" ht="43.5" hidden="false" customHeight="true" outlineLevel="0" collapsed="false">
      <c r="A23" s="6" t="n">
        <v>1</v>
      </c>
      <c r="B23" s="7" t="s">
        <v>1062</v>
      </c>
      <c r="C23" s="48" t="n">
        <v>0.2</v>
      </c>
      <c r="D23" s="49" t="n">
        <v>0.3</v>
      </c>
      <c r="E23" s="49" t="n">
        <v>0.5</v>
      </c>
      <c r="F23" s="49" t="n">
        <f aca="false">SUM(C23:E23)</f>
        <v>1</v>
      </c>
      <c r="G23" s="7" t="str">
        <f aca="false">IF(ABS(F23-1)&lt;0.000001,"100%","CONTROLEER")</f>
        <v>100%</v>
      </c>
      <c r="H23" s="7" t="s">
        <v>1063</v>
      </c>
    </row>
    <row r="24" customFormat="false" ht="43.5" hidden="false" customHeight="true" outlineLevel="0" collapsed="false">
      <c r="A24" s="6" t="n">
        <v>2</v>
      </c>
      <c r="B24" s="7" t="s">
        <v>1064</v>
      </c>
      <c r="C24" s="48" t="n">
        <v>0.5</v>
      </c>
      <c r="D24" s="49" t="n">
        <v>0.15</v>
      </c>
      <c r="E24" s="49" t="n">
        <v>0.35</v>
      </c>
      <c r="F24" s="49" t="n">
        <f aca="false">SUM(C24:E24)</f>
        <v>1</v>
      </c>
      <c r="G24" s="7" t="str">
        <f aca="false">IF(ABS(F24-1)&lt;0.000001,"100%","CONTROLEER")</f>
        <v>100%</v>
      </c>
      <c r="H24" s="7" t="s">
        <v>1063</v>
      </c>
    </row>
    <row r="25" customFormat="false" ht="43.5" hidden="false" customHeight="true" outlineLevel="0" collapsed="false">
      <c r="A25" s="6" t="n">
        <v>3</v>
      </c>
      <c r="B25" s="7" t="s">
        <v>1065</v>
      </c>
      <c r="C25" s="48" t="n">
        <v>0.5</v>
      </c>
      <c r="D25" s="49" t="n">
        <v>0.3</v>
      </c>
      <c r="E25" s="49" t="n">
        <v>0.2</v>
      </c>
      <c r="F25" s="49" t="n">
        <f aca="false">SUM(C25:E25)</f>
        <v>1</v>
      </c>
      <c r="G25" s="7" t="str">
        <f aca="false">IF(ABS(F25-1)&lt;0.000001,"100%","CONTROLEER")</f>
        <v>100%</v>
      </c>
      <c r="H25" s="7" t="s">
        <v>1063</v>
      </c>
    </row>
    <row r="26" customFormat="false" ht="30.75" hidden="false" customHeight="true" outlineLevel="0" collapsed="false">
      <c r="A26" s="6"/>
      <c r="B26" s="7"/>
      <c r="C26" s="7"/>
      <c r="D26" s="10"/>
      <c r="E26" s="10"/>
      <c r="F26" s="10"/>
      <c r="G26" s="7"/>
      <c r="H26" s="7"/>
    </row>
    <row r="27" customFormat="false" ht="48" hidden="false" customHeight="true" outlineLevel="0" collapsed="false">
      <c r="A27" s="6"/>
      <c r="B27" s="7" t="s">
        <v>1066</v>
      </c>
      <c r="C27" s="7"/>
      <c r="D27" s="10"/>
      <c r="E27" s="10"/>
      <c r="F27" s="10"/>
      <c r="G27" s="7"/>
      <c r="H27" s="7" t="s">
        <v>1067</v>
      </c>
    </row>
    <row r="28" customFormat="false" ht="30.75" hidden="false" customHeight="true" outlineLevel="0" collapsed="false">
      <c r="A28" s="6"/>
      <c r="B28" s="7"/>
      <c r="C28" s="7"/>
      <c r="D28" s="10"/>
      <c r="E28" s="10"/>
      <c r="F28" s="10"/>
      <c r="G28" s="7"/>
      <c r="H28" s="7"/>
    </row>
    <row r="29" customFormat="false" ht="30.75" hidden="false" customHeight="true" outlineLevel="0" collapsed="false">
      <c r="A29" s="6"/>
      <c r="B29" s="7"/>
      <c r="C29" s="7"/>
      <c r="D29" s="10"/>
      <c r="E29" s="10"/>
      <c r="F29" s="10"/>
      <c r="G29" s="7"/>
      <c r="H29" s="7"/>
    </row>
    <row r="30" customFormat="false" ht="30.75" hidden="false" customHeight="true" outlineLevel="0" collapsed="false">
      <c r="A30" s="6"/>
      <c r="B30" s="7"/>
      <c r="C30" s="7"/>
      <c r="D30" s="10"/>
      <c r="E30" s="10"/>
      <c r="F30" s="10"/>
      <c r="G30" s="7"/>
      <c r="H30" s="7"/>
    </row>
    <row r="31" customFormat="false" ht="30.75" hidden="false" customHeight="true" outlineLevel="0" collapsed="false">
      <c r="A31" s="6"/>
      <c r="B31" s="7"/>
      <c r="C31" s="7"/>
      <c r="D31" s="10"/>
      <c r="E31" s="10"/>
      <c r="F31" s="10"/>
      <c r="G31" s="7"/>
      <c r="H31" s="7"/>
    </row>
    <row r="32" customFormat="false" ht="24.75" hidden="false" customHeight="true" outlineLevel="0" collapsed="false">
      <c r="A32" s="12" t="s">
        <v>1068</v>
      </c>
      <c r="B32" s="13"/>
      <c r="C32" s="13"/>
      <c r="D32" s="14"/>
      <c r="E32" s="14"/>
      <c r="F32" s="14"/>
      <c r="G32" s="13"/>
      <c r="H32" s="13"/>
    </row>
    <row r="33" customFormat="false" ht="31.5" hidden="false" customHeight="true" outlineLevel="0" collapsed="false">
      <c r="A33" s="5" t="s">
        <v>3</v>
      </c>
      <c r="B33" s="5" t="s">
        <v>71</v>
      </c>
      <c r="C33" s="5" t="s">
        <v>5</v>
      </c>
      <c r="D33" s="16" t="s">
        <v>1069</v>
      </c>
      <c r="E33" s="16" t="s">
        <v>114</v>
      </c>
      <c r="F33" s="16" t="s">
        <v>672</v>
      </c>
      <c r="G33" s="5"/>
      <c r="H33" s="5"/>
    </row>
    <row r="34" customFormat="false" ht="30.75" hidden="false" customHeight="true" outlineLevel="0" collapsed="false">
      <c r="A34" s="6" t="s">
        <v>1070</v>
      </c>
      <c r="B34" s="7" t="s">
        <v>1071</v>
      </c>
      <c r="C34" s="7" t="s">
        <v>196</v>
      </c>
      <c r="D34" s="31" t="n">
        <v>3459600</v>
      </c>
      <c r="E34" s="10"/>
      <c r="F34" s="10" t="s">
        <v>1072</v>
      </c>
      <c r="G34" s="7"/>
      <c r="H34" s="7"/>
    </row>
    <row r="35" customFormat="false" ht="30.75" hidden="false" customHeight="true" outlineLevel="0" collapsed="false">
      <c r="A35" s="6" t="s">
        <v>1073</v>
      </c>
      <c r="B35" s="7" t="s">
        <v>1074</v>
      </c>
      <c r="C35" s="7" t="s">
        <v>1075</v>
      </c>
      <c r="D35" s="31" t="n">
        <v>7.06</v>
      </c>
      <c r="E35" s="10"/>
      <c r="F35" s="10" t="s">
        <v>1076</v>
      </c>
      <c r="G35" s="7"/>
      <c r="H35" s="7"/>
    </row>
    <row r="36" customFormat="false" ht="30.75" hidden="false" customHeight="true" outlineLevel="0" collapsed="false">
      <c r="A36" s="6" t="s">
        <v>1077</v>
      </c>
      <c r="B36" s="7" t="s">
        <v>1078</v>
      </c>
      <c r="C36" s="7" t="s">
        <v>1075</v>
      </c>
      <c r="D36" s="31" t="n">
        <v>5</v>
      </c>
      <c r="E36" s="10"/>
      <c r="F36" s="10" t="s">
        <v>1079</v>
      </c>
      <c r="G36" s="7"/>
      <c r="H36" s="7"/>
    </row>
    <row r="37" customFormat="false" ht="30.75" hidden="false" customHeight="true" outlineLevel="0" collapsed="false">
      <c r="A37" s="6" t="s">
        <v>1080</v>
      </c>
      <c r="B37" s="7" t="s">
        <v>1081</v>
      </c>
      <c r="C37" s="7" t="s">
        <v>23</v>
      </c>
      <c r="D37" s="31" t="n">
        <v>0.5</v>
      </c>
      <c r="E37" s="10"/>
      <c r="F37" s="10" t="s">
        <v>1082</v>
      </c>
      <c r="G37" s="7"/>
      <c r="H37" s="7"/>
    </row>
    <row r="38" customFormat="false" ht="30.75" hidden="false" customHeight="true" outlineLevel="0" collapsed="false">
      <c r="A38" s="6"/>
      <c r="B38" s="7"/>
      <c r="C38" s="7"/>
      <c r="D38" s="10"/>
      <c r="E38" s="10"/>
      <c r="F38" s="10"/>
      <c r="G38" s="7"/>
      <c r="H38" s="7"/>
    </row>
    <row r="39" customFormat="false" ht="30.75" hidden="false" customHeight="true" outlineLevel="0" collapsed="false">
      <c r="A39" s="6"/>
      <c r="B39" s="7" t="s">
        <v>1083</v>
      </c>
      <c r="C39" s="7" t="s">
        <v>47</v>
      </c>
      <c r="D39" s="10" t="n">
        <f aca="false">IF(COUNT(D34:D37)=4,D34*MAX(0,D36-D35+D37),"")</f>
        <v>0</v>
      </c>
      <c r="E39" s="10" t="str">
        <f aca="false">IF(COUNT(D34:D37)=4,"SCHATTING","INVOER ONTBREEKT")</f>
        <v>SCHATTING</v>
      </c>
      <c r="F39" s="10" t="s">
        <v>1084</v>
      </c>
      <c r="G39" s="7"/>
      <c r="H39" s="7"/>
    </row>
    <row r="40" customFormat="false" ht="30.75" hidden="false" customHeight="true" outlineLevel="0" collapsed="false">
      <c r="A40" s="6"/>
      <c r="B40" s="7"/>
      <c r="C40" s="7"/>
      <c r="D40" s="10"/>
      <c r="E40" s="10"/>
      <c r="F40" s="10"/>
      <c r="G40" s="7"/>
      <c r="H40" s="7"/>
    </row>
    <row r="41" customFormat="false" ht="30.75" hidden="false" customHeight="true" outlineLevel="0" collapsed="false">
      <c r="A41" s="6"/>
      <c r="B41" s="7"/>
      <c r="C41" s="7"/>
      <c r="D41" s="10"/>
      <c r="E41" s="10"/>
      <c r="F41" s="10"/>
      <c r="G41" s="7"/>
      <c r="H41" s="7"/>
    </row>
    <row r="42" customFormat="false" ht="46.5" hidden="false" customHeight="true" outlineLevel="0" collapsed="false">
      <c r="A42" s="6"/>
      <c r="B42" s="7" t="s">
        <v>1085</v>
      </c>
      <c r="C42" s="7"/>
      <c r="D42" s="10"/>
      <c r="E42" s="10"/>
      <c r="F42" s="10"/>
      <c r="G42" s="7"/>
      <c r="H42" s="7" t="s">
        <v>1086</v>
      </c>
    </row>
    <row r="43" customFormat="false" ht="30.75" hidden="false" customHeight="true" outlineLevel="0" collapsed="false">
      <c r="A43" s="6"/>
      <c r="B43" s="7"/>
      <c r="C43" s="7"/>
      <c r="D43" s="10"/>
      <c r="E43" s="10"/>
      <c r="F43" s="10"/>
      <c r="G43" s="7"/>
      <c r="H43" s="7"/>
    </row>
    <row r="44" customFormat="false" ht="30.75" hidden="false" customHeight="true" outlineLevel="0" collapsed="false">
      <c r="A44" s="6"/>
      <c r="B44" s="7"/>
      <c r="C44" s="7"/>
      <c r="D44" s="10"/>
      <c r="E44" s="10"/>
      <c r="F44" s="10"/>
      <c r="G44" s="7"/>
      <c r="H44" s="7"/>
    </row>
    <row r="45" customFormat="false" ht="30.75" hidden="false" customHeight="true" outlineLevel="0" collapsed="false">
      <c r="A45" s="6"/>
      <c r="B45" s="7"/>
      <c r="C45" s="7"/>
      <c r="D45" s="10"/>
      <c r="E45" s="10"/>
      <c r="F45" s="10"/>
      <c r="G45" s="7"/>
      <c r="H45" s="7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9"/>
    <col collapsed="false" customWidth="true" hidden="false" outlineLevel="0" max="3" min="3" style="0" width="18"/>
    <col collapsed="false" customWidth="true" hidden="false" outlineLevel="0" max="6" min="4" style="0" width="17"/>
    <col collapsed="false" customWidth="true" hidden="false" outlineLevel="0" max="7" min="7" style="0" width="24"/>
    <col collapsed="false" customWidth="true" hidden="false" outlineLevel="0" max="8" min="8" style="0" width="6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8.55" hidden="false" customHeight="false" outlineLevel="0" collapsed="false">
      <c r="A2" s="2" t="s">
        <v>1087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 t="s">
        <v>1</v>
      </c>
      <c r="C3" s="3"/>
      <c r="D3" s="4" t="n">
        <f aca="false">Invoer!$D$3</f>
        <v>3</v>
      </c>
      <c r="E3" s="3"/>
      <c r="F3" s="3"/>
      <c r="G3" s="3"/>
      <c r="H3" s="3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27" hidden="false" customHeight="true" outlineLevel="0" collapsed="false">
      <c r="A5" s="5" t="s">
        <v>3</v>
      </c>
      <c r="B5" s="5" t="s">
        <v>1088</v>
      </c>
      <c r="C5" s="5" t="s">
        <v>1089</v>
      </c>
      <c r="D5" s="5" t="s">
        <v>1090</v>
      </c>
      <c r="E5" s="5" t="s">
        <v>1091</v>
      </c>
      <c r="F5" s="5" t="s">
        <v>1092</v>
      </c>
      <c r="G5" s="5" t="s">
        <v>1093</v>
      </c>
      <c r="H5" s="5" t="s">
        <v>1094</v>
      </c>
    </row>
    <row r="6" customFormat="false" ht="27" hidden="false" customHeight="true" outlineLevel="0" collapsed="false">
      <c r="A6" s="6" t="s">
        <v>1095</v>
      </c>
      <c r="B6" s="7" t="s">
        <v>1096</v>
      </c>
      <c r="C6" s="50" t="n">
        <v>0.3</v>
      </c>
      <c r="D6" s="21"/>
      <c r="E6" s="21"/>
      <c r="F6" s="21"/>
      <c r="G6" s="34"/>
      <c r="H6" s="7" t="s">
        <v>1097</v>
      </c>
    </row>
    <row r="7" customFormat="false" ht="27" hidden="false" customHeight="true" outlineLevel="0" collapsed="false">
      <c r="A7" s="6" t="s">
        <v>1098</v>
      </c>
      <c r="B7" s="7" t="s">
        <v>1099</v>
      </c>
      <c r="C7" s="50" t="n">
        <v>0.25</v>
      </c>
      <c r="D7" s="21"/>
      <c r="E7" s="21"/>
      <c r="F7" s="21"/>
      <c r="G7" s="34"/>
      <c r="H7" s="7" t="s">
        <v>1100</v>
      </c>
    </row>
    <row r="8" customFormat="false" ht="27" hidden="false" customHeight="true" outlineLevel="0" collapsed="false">
      <c r="A8" s="6" t="s">
        <v>1101</v>
      </c>
      <c r="B8" s="7" t="s">
        <v>1102</v>
      </c>
      <c r="C8" s="50" t="n">
        <v>0.2</v>
      </c>
      <c r="D8" s="21"/>
      <c r="E8" s="21"/>
      <c r="F8" s="21"/>
      <c r="G8" s="34"/>
      <c r="H8" s="7" t="s">
        <v>1103</v>
      </c>
    </row>
    <row r="9" customFormat="false" ht="27" hidden="false" customHeight="true" outlineLevel="0" collapsed="false">
      <c r="A9" s="6" t="s">
        <v>1104</v>
      </c>
      <c r="B9" s="7" t="s">
        <v>1105</v>
      </c>
      <c r="C9" s="50" t="n">
        <v>0.15</v>
      </c>
      <c r="D9" s="21"/>
      <c r="E9" s="21"/>
      <c r="F9" s="21"/>
      <c r="G9" s="34"/>
      <c r="H9" s="7" t="s">
        <v>1106</v>
      </c>
    </row>
    <row r="10" customFormat="false" ht="27" hidden="false" customHeight="true" outlineLevel="0" collapsed="false">
      <c r="A10" s="6" t="s">
        <v>1107</v>
      </c>
      <c r="B10" s="7" t="s">
        <v>1108</v>
      </c>
      <c r="C10" s="50" t="n">
        <v>0.1</v>
      </c>
      <c r="D10" s="21"/>
      <c r="E10" s="21"/>
      <c r="F10" s="21"/>
      <c r="G10" s="34"/>
      <c r="H10" s="7" t="s">
        <v>1109</v>
      </c>
    </row>
    <row r="11" customFormat="false" ht="27" hidden="false" customHeight="true" outlineLevel="0" collapsed="false">
      <c r="A11" s="6"/>
      <c r="B11" s="7"/>
      <c r="C11" s="6"/>
      <c r="D11" s="10"/>
      <c r="E11" s="10"/>
      <c r="F11" s="10"/>
      <c r="G11" s="6"/>
      <c r="H11" s="7"/>
    </row>
    <row r="12" customFormat="false" ht="27" hidden="false" customHeight="true" outlineLevel="0" collapsed="false">
      <c r="A12" s="6"/>
      <c r="B12" s="7" t="s">
        <v>1110</v>
      </c>
      <c r="C12" s="51" t="n">
        <f aca="false">SUM(C6:C10)</f>
        <v>1</v>
      </c>
      <c r="D12" s="10"/>
      <c r="E12" s="10"/>
      <c r="F12" s="10"/>
      <c r="G12" s="6"/>
      <c r="H12" s="7"/>
    </row>
    <row r="13" customFormat="false" ht="27" hidden="false" customHeight="true" outlineLevel="0" collapsed="false">
      <c r="A13" s="6"/>
      <c r="B13" s="7"/>
      <c r="C13" s="6"/>
      <c r="D13" s="10"/>
      <c r="E13" s="10"/>
      <c r="F13" s="10"/>
      <c r="G13" s="6"/>
      <c r="H13" s="7"/>
    </row>
    <row r="14" customFormat="false" ht="27" hidden="false" customHeight="true" outlineLevel="0" collapsed="false">
      <c r="A14" s="6"/>
      <c r="B14" s="7" t="s">
        <v>1111</v>
      </c>
      <c r="C14" s="6"/>
      <c r="D14" s="10" t="str">
        <f aca="false">IF(AND(COUNT(D6:D10)=5,ABS($C$12-1)&lt;0.000001),SUMPRODUCT($C$6:$C$10,D6:D10),"")</f>
        <v/>
      </c>
      <c r="E14" s="10" t="str">
        <f aca="false">IF(AND(COUNT(E6:E10)=5,ABS($C$12-1)&lt;0.000001),SUMPRODUCT($C$6:$C$10,E6:E10),"")</f>
        <v/>
      </c>
      <c r="F14" s="10" t="str">
        <f aca="false">IF(AND(COUNT(F6:F10)=5,ABS($C$12-1)&lt;0.000001),SUMPRODUCT($C$6:$C$10,F6:F10),"")</f>
        <v/>
      </c>
      <c r="G14" s="6" t="str">
        <f aca="false">IF(AND(COUNT(G6:G10)=5,ABS($C$12-1)&lt;0.000001),SUMPRODUCT($C$6:$C$10,G6:G10),"")</f>
        <v/>
      </c>
      <c r="H14" s="7"/>
    </row>
    <row r="15" customFormat="false" ht="27" hidden="false" customHeight="true" outlineLevel="0" collapsed="false">
      <c r="A15" s="6"/>
      <c r="B15" s="7"/>
      <c r="C15" s="6"/>
      <c r="D15" s="10"/>
      <c r="E15" s="10"/>
      <c r="F15" s="10"/>
      <c r="G15" s="6"/>
      <c r="H15" s="7"/>
    </row>
    <row r="16" customFormat="false" ht="27" hidden="false" customHeight="true" outlineLevel="0" collapsed="false">
      <c r="A16" s="6"/>
      <c r="B16" s="7" t="s">
        <v>1112</v>
      </c>
      <c r="C16" s="6"/>
      <c r="D16" s="10" t="s">
        <v>1113</v>
      </c>
      <c r="E16" s="10"/>
      <c r="F16" s="10"/>
      <c r="G16" s="6"/>
      <c r="H16" s="7"/>
    </row>
    <row r="17" customFormat="false" ht="27" hidden="false" customHeight="true" outlineLevel="0" collapsed="false">
      <c r="A17" s="6"/>
      <c r="B17" s="7"/>
      <c r="C17" s="6"/>
      <c r="D17" s="10"/>
      <c r="E17" s="10"/>
      <c r="F17" s="10"/>
      <c r="G17" s="6"/>
      <c r="H17" s="7"/>
    </row>
    <row r="18" customFormat="false" ht="27" hidden="false" customHeight="true" outlineLevel="0" collapsed="false">
      <c r="A18" s="6"/>
      <c r="B18" s="7" t="s">
        <v>1114</v>
      </c>
      <c r="C18" s="6"/>
      <c r="D18" s="10" t="str">
        <f aca="false">IF(COUNT(D14:G14)=4,"VOLLEDIG INGEVOERD","GROEPSSCHETSEN EN SCORES NODIG")</f>
        <v>GROEPSSCHETSEN EN SCORES NODIG</v>
      </c>
      <c r="E18" s="10"/>
      <c r="F18" s="10"/>
      <c r="G18" s="6"/>
      <c r="H18" s="7"/>
    </row>
    <row r="19" customFormat="false" ht="27" hidden="false" customHeight="true" outlineLevel="0" collapsed="false">
      <c r="A19" s="6"/>
      <c r="B19" s="7"/>
      <c r="C19" s="6"/>
      <c r="D19" s="10"/>
      <c r="E19" s="10"/>
      <c r="F19" s="10"/>
      <c r="G19" s="6"/>
      <c r="H19" s="7"/>
    </row>
    <row r="20" customFormat="false" ht="27" hidden="false" customHeight="true" outlineLevel="0" collapsed="false">
      <c r="A20" s="6"/>
      <c r="B20" s="7"/>
      <c r="C20" s="6"/>
      <c r="D20" s="10"/>
      <c r="E20" s="10"/>
      <c r="F20" s="10"/>
      <c r="G20" s="6"/>
      <c r="H20" s="7" t="s">
        <v>1115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</row>
  </sheetData>
  <dataValidations count="1">
    <dataValidation allowBlank="false" errorStyle="stop" operator="between" showDropDown="false" showErrorMessage="false" showInputMessage="false" sqref="D6:G10" type="whole">
      <formula1>1</formula1>
      <formula2>5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9"/>
    <col collapsed="false" customWidth="true" hidden="false" outlineLevel="0" max="3" min="3" style="0" width="72"/>
    <col collapsed="false" customWidth="true" hidden="false" outlineLevel="0" max="4" min="4" style="0" width="25"/>
    <col collapsed="false" customWidth="true" hidden="false" outlineLevel="0" max="5" min="5" style="0" width="65"/>
    <col collapsed="false" customWidth="true" hidden="false" outlineLevel="0" max="6" min="6" style="0" width="17"/>
    <col collapsed="false" customWidth="true" hidden="false" outlineLevel="0" max="7" min="7" style="0" width="24"/>
    <col collapsed="false" customWidth="true" hidden="false" outlineLevel="0" max="8" min="8" style="0" width="6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8.55" hidden="false" customHeight="false" outlineLevel="0" collapsed="false">
      <c r="A2" s="2" t="s">
        <v>1116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 t="s">
        <v>1</v>
      </c>
      <c r="C3" s="3"/>
      <c r="D3" s="4" t="n">
        <f aca="false">Invoer!$D$3</f>
        <v>3</v>
      </c>
      <c r="E3" s="3"/>
      <c r="F3" s="3"/>
      <c r="G3" s="3"/>
      <c r="H3" s="3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30" hidden="false" customHeight="true" outlineLevel="0" collapsed="false">
      <c r="A5" s="25" t="s">
        <v>3</v>
      </c>
      <c r="B5" s="25" t="s">
        <v>1117</v>
      </c>
      <c r="C5" s="25" t="s">
        <v>1118</v>
      </c>
      <c r="D5" s="25" t="s">
        <v>114</v>
      </c>
      <c r="E5" s="25" t="s">
        <v>1119</v>
      </c>
      <c r="F5" s="1"/>
      <c r="G5" s="1"/>
      <c r="H5" s="1"/>
    </row>
    <row r="6" customFormat="false" ht="54.75" hidden="false" customHeight="true" outlineLevel="0" collapsed="false">
      <c r="A6" s="1" t="s">
        <v>1120</v>
      </c>
      <c r="B6" s="26" t="s">
        <v>1121</v>
      </c>
      <c r="C6" s="26" t="s">
        <v>1122</v>
      </c>
      <c r="D6" s="26" t="s">
        <v>1123</v>
      </c>
      <c r="E6" s="26" t="s">
        <v>345</v>
      </c>
      <c r="F6" s="1"/>
      <c r="G6" s="1"/>
      <c r="H6" s="1"/>
    </row>
    <row r="7" customFormat="false" ht="54.75" hidden="false" customHeight="true" outlineLevel="0" collapsed="false">
      <c r="A7" s="1" t="s">
        <v>1124</v>
      </c>
      <c r="B7" s="26" t="s">
        <v>1125</v>
      </c>
      <c r="C7" s="26" t="s">
        <v>1126</v>
      </c>
      <c r="D7" s="26" t="s">
        <v>1127</v>
      </c>
      <c r="E7" s="26" t="s">
        <v>1128</v>
      </c>
      <c r="F7" s="1"/>
      <c r="G7" s="1"/>
      <c r="H7" s="1"/>
    </row>
    <row r="8" customFormat="false" ht="54.75" hidden="false" customHeight="true" outlineLevel="0" collapsed="false">
      <c r="A8" s="1" t="s">
        <v>1129</v>
      </c>
      <c r="B8" s="26" t="s">
        <v>1130</v>
      </c>
      <c r="C8" s="26" t="s">
        <v>1131</v>
      </c>
      <c r="D8" s="26" t="s">
        <v>1127</v>
      </c>
      <c r="E8" s="26" t="s">
        <v>1132</v>
      </c>
      <c r="F8" s="1"/>
      <c r="G8" s="1"/>
      <c r="H8" s="1"/>
    </row>
    <row r="9" customFormat="false" ht="54.75" hidden="false" customHeight="true" outlineLevel="0" collapsed="false">
      <c r="A9" s="1" t="s">
        <v>1133</v>
      </c>
      <c r="B9" s="26" t="s">
        <v>1134</v>
      </c>
      <c r="C9" s="26" t="s">
        <v>1135</v>
      </c>
      <c r="D9" s="26" t="s">
        <v>1136</v>
      </c>
      <c r="E9" s="26" t="s">
        <v>1137</v>
      </c>
      <c r="F9" s="1"/>
      <c r="G9" s="1"/>
      <c r="H9" s="1"/>
    </row>
    <row r="10" customFormat="false" ht="54.75" hidden="false" customHeight="true" outlineLevel="0" collapsed="false">
      <c r="A10" s="1" t="s">
        <v>1138</v>
      </c>
      <c r="B10" s="26" t="s">
        <v>1139</v>
      </c>
      <c r="C10" s="26" t="s">
        <v>1140</v>
      </c>
      <c r="D10" s="26" t="s">
        <v>1141</v>
      </c>
      <c r="E10" s="26" t="s">
        <v>1142</v>
      </c>
      <c r="F10" s="1"/>
      <c r="G10" s="1"/>
      <c r="H10" s="1"/>
    </row>
    <row r="11" customFormat="false" ht="54.75" hidden="false" customHeight="true" outlineLevel="0" collapsed="false">
      <c r="A11" s="1" t="s">
        <v>1143</v>
      </c>
      <c r="B11" s="26" t="s">
        <v>1144</v>
      </c>
      <c r="C11" s="26" t="s">
        <v>1145</v>
      </c>
      <c r="D11" s="26" t="s">
        <v>152</v>
      </c>
      <c r="E11" s="26" t="s">
        <v>1146</v>
      </c>
      <c r="F11" s="1"/>
      <c r="G11" s="1"/>
      <c r="H11" s="1"/>
    </row>
    <row r="12" customFormat="false" ht="54.75" hidden="false" customHeight="true" outlineLevel="0" collapsed="false">
      <c r="A12" s="1" t="s">
        <v>1147</v>
      </c>
      <c r="B12" s="26" t="s">
        <v>1148</v>
      </c>
      <c r="C12" s="26" t="s">
        <v>1149</v>
      </c>
      <c r="D12" s="26" t="s">
        <v>152</v>
      </c>
      <c r="E12" s="26" t="s">
        <v>1150</v>
      </c>
      <c r="F12" s="1"/>
      <c r="G12" s="1"/>
      <c r="H12" s="1"/>
    </row>
    <row r="13" customFormat="false" ht="54.75" hidden="false" customHeight="true" outlineLevel="0" collapsed="false">
      <c r="A13" s="1" t="s">
        <v>1151</v>
      </c>
      <c r="B13" s="26" t="s">
        <v>1152</v>
      </c>
      <c r="C13" s="26" t="s">
        <v>1153</v>
      </c>
      <c r="D13" s="26" t="s">
        <v>1154</v>
      </c>
      <c r="E13" s="26" t="s">
        <v>1155</v>
      </c>
      <c r="F13" s="1"/>
      <c r="G13" s="1"/>
      <c r="H13" s="1"/>
    </row>
    <row r="14" customFormat="false" ht="54.75" hidden="false" customHeight="true" outlineLevel="0" collapsed="false">
      <c r="A14" s="1" t="s">
        <v>1156</v>
      </c>
      <c r="B14" s="26" t="s">
        <v>1157</v>
      </c>
      <c r="C14" s="26" t="s">
        <v>1158</v>
      </c>
      <c r="D14" s="26" t="s">
        <v>137</v>
      </c>
      <c r="E14" s="26" t="s">
        <v>1159</v>
      </c>
      <c r="F14" s="1"/>
      <c r="G14" s="1"/>
      <c r="H14" s="1"/>
    </row>
    <row r="15" customFormat="false" ht="54.75" hidden="false" customHeight="true" outlineLevel="0" collapsed="false">
      <c r="A15" s="1" t="s">
        <v>1160</v>
      </c>
      <c r="B15" s="26" t="s">
        <v>1161</v>
      </c>
      <c r="C15" s="26" t="s">
        <v>1162</v>
      </c>
      <c r="D15" s="26" t="s">
        <v>167</v>
      </c>
      <c r="E15" s="26" t="s">
        <v>1163</v>
      </c>
      <c r="F15" s="1"/>
      <c r="G15" s="1"/>
      <c r="H15" s="1"/>
    </row>
    <row r="16" customFormat="false" ht="54.75" hidden="false" customHeight="true" outlineLevel="0" collapsed="false">
      <c r="A16" s="1" t="s">
        <v>1164</v>
      </c>
      <c r="B16" s="26" t="s">
        <v>1165</v>
      </c>
      <c r="C16" s="26" t="str">
        <f aca="false">"Actief "&amp;Invoer!$D$3&amp;" tanks van 180000 m3; 4 basiscirkels en 3 uitgewerkte details"</f>
        <v>Actief 3 tanks van 180000 m3; 4 basiscirkels en 3 uitgewerkte details</v>
      </c>
      <c r="D16" s="26" t="s">
        <v>266</v>
      </c>
      <c r="E16" s="26" t="s">
        <v>1166</v>
      </c>
      <c r="F16" s="1"/>
      <c r="G16" s="1"/>
      <c r="H16" s="1"/>
    </row>
    <row r="17" customFormat="false" ht="54.75" hidden="false" customHeight="true" outlineLevel="0" collapsed="false">
      <c r="A17" s="1" t="s">
        <v>1167</v>
      </c>
      <c r="B17" s="26" t="s">
        <v>1168</v>
      </c>
      <c r="C17" s="26" t="s">
        <v>1169</v>
      </c>
      <c r="D17" s="26" t="s">
        <v>1170</v>
      </c>
      <c r="E17" s="26" t="s">
        <v>1171</v>
      </c>
      <c r="F17" s="1"/>
      <c r="G17" s="1"/>
      <c r="H17" s="1"/>
    </row>
    <row r="18" customFormat="false" ht="54.75" hidden="false" customHeight="true" outlineLevel="0" collapsed="false">
      <c r="A18" s="1" t="s">
        <v>1172</v>
      </c>
      <c r="B18" s="26" t="s">
        <v>1173</v>
      </c>
      <c r="C18" s="26" t="s">
        <v>1174</v>
      </c>
      <c r="D18" s="26" t="s">
        <v>1175</v>
      </c>
      <c r="E18" s="26" t="s">
        <v>1176</v>
      </c>
      <c r="F18" s="1"/>
      <c r="G18" s="1"/>
      <c r="H18" s="1"/>
    </row>
    <row r="19" customFormat="false" ht="54.75" hidden="false" customHeight="true" outlineLevel="0" collapsed="false">
      <c r="A19" s="1" t="s">
        <v>1177</v>
      </c>
      <c r="B19" s="26" t="s">
        <v>1178</v>
      </c>
      <c r="C19" s="26" t="s">
        <v>1179</v>
      </c>
      <c r="D19" s="26" t="s">
        <v>152</v>
      </c>
      <c r="E19" s="26" t="s">
        <v>1180</v>
      </c>
      <c r="F19" s="1"/>
      <c r="G19" s="1"/>
      <c r="H19" s="1"/>
    </row>
    <row r="20" customFormat="false" ht="54.75" hidden="false" customHeight="true" outlineLevel="0" collapsed="false">
      <c r="A20" s="1" t="s">
        <v>1181</v>
      </c>
      <c r="B20" s="26" t="s">
        <v>1182</v>
      </c>
      <c r="C20" s="26" t="s">
        <v>1183</v>
      </c>
      <c r="D20" s="26" t="s">
        <v>1184</v>
      </c>
      <c r="E20" s="26" t="s">
        <v>1185</v>
      </c>
      <c r="F20" s="1"/>
      <c r="G20" s="1"/>
      <c r="H20" s="1"/>
    </row>
    <row r="21" customFormat="false" ht="54.75" hidden="false" customHeight="true" outlineLevel="0" collapsed="false">
      <c r="A21" s="1" t="s">
        <v>1186</v>
      </c>
      <c r="B21" s="26" t="s">
        <v>1187</v>
      </c>
      <c r="C21" s="26" t="s">
        <v>1188</v>
      </c>
      <c r="D21" s="26" t="s">
        <v>1189</v>
      </c>
      <c r="E21" s="26" t="s">
        <v>1190</v>
      </c>
      <c r="F21" s="1"/>
      <c r="G21" s="1"/>
      <c r="H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</row>
    <row r="24" customFormat="false" ht="24.75" hidden="false" customHeight="true" outlineLevel="0" collapsed="false">
      <c r="A24" s="24" t="s">
        <v>1191</v>
      </c>
      <c r="B24" s="24"/>
      <c r="C24" s="24"/>
      <c r="D24" s="24"/>
      <c r="E24" s="24"/>
      <c r="F24" s="24"/>
      <c r="G24" s="24"/>
      <c r="H24" s="24"/>
    </row>
    <row r="25" customFormat="false" ht="57" hidden="false" customHeight="true" outlineLevel="0" collapsed="false">
      <c r="A25" s="7" t="s">
        <v>1192</v>
      </c>
      <c r="B25" s="7" t="s">
        <v>1193</v>
      </c>
      <c r="C25" s="7" t="s">
        <v>1194</v>
      </c>
      <c r="D25" s="7" t="s">
        <v>1195</v>
      </c>
      <c r="E25" s="7" t="s">
        <v>1196</v>
      </c>
      <c r="F25" s="1"/>
      <c r="G25" s="1"/>
      <c r="H25" s="1"/>
    </row>
    <row r="26" customFormat="false" ht="57" hidden="false" customHeight="true" outlineLevel="0" collapsed="false">
      <c r="A26" s="7" t="s">
        <v>1192</v>
      </c>
      <c r="B26" s="7" t="s">
        <v>1197</v>
      </c>
      <c r="C26" s="7" t="s">
        <v>1198</v>
      </c>
      <c r="D26" s="7" t="s">
        <v>1199</v>
      </c>
      <c r="E26" s="7" t="s">
        <v>1200</v>
      </c>
      <c r="F26" s="1"/>
      <c r="G26" s="1"/>
      <c r="H26" s="1"/>
    </row>
    <row r="27" customFormat="false" ht="57" hidden="false" customHeight="true" outlineLevel="0" collapsed="false">
      <c r="A27" s="7" t="s">
        <v>1192</v>
      </c>
      <c r="B27" s="7" t="s">
        <v>554</v>
      </c>
      <c r="C27" s="7" t="s">
        <v>1201</v>
      </c>
      <c r="D27" s="7" t="s">
        <v>1202</v>
      </c>
      <c r="E27" s="7" t="s">
        <v>1203</v>
      </c>
      <c r="F27" s="1"/>
      <c r="G27" s="1"/>
      <c r="H27" s="1"/>
    </row>
    <row r="28" customFormat="false" ht="57" hidden="false" customHeight="true" outlineLevel="0" collapsed="false">
      <c r="A28" s="7" t="s">
        <v>1192</v>
      </c>
      <c r="B28" s="7" t="s">
        <v>1014</v>
      </c>
      <c r="C28" s="7" t="s">
        <v>1204</v>
      </c>
      <c r="D28" s="7" t="s">
        <v>1205</v>
      </c>
      <c r="E28" s="7" t="s">
        <v>1206</v>
      </c>
      <c r="F28" s="1"/>
      <c r="G28" s="1"/>
      <c r="H28" s="1"/>
    </row>
    <row r="29" customFormat="false" ht="57" hidden="false" customHeight="true" outlineLevel="0" collapsed="false">
      <c r="A29" s="7" t="s">
        <v>1192</v>
      </c>
      <c r="B29" s="7" t="s">
        <v>108</v>
      </c>
      <c r="C29" s="7" t="s">
        <v>1207</v>
      </c>
      <c r="D29" s="7" t="s">
        <v>109</v>
      </c>
      <c r="E29" s="7" t="s">
        <v>1208</v>
      </c>
      <c r="F29" s="1"/>
      <c r="G29" s="1"/>
      <c r="H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2026-10-23T09:00:55Z</dcterms:created>
  <dc:creator>openpyxl</dc:creator>
  <dc:description/>
  <dc:language>en-US</dc:language>
  <cp:lastModifiedBy/>
  <dcterms:modified xsi:type="dcterms:W3CDTF">2026-10-23T09:10:46Z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