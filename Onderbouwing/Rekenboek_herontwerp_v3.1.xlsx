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sultaten" sheetId="1" state="visible" r:id="rId1"/>
    <sheet xmlns:r="http://schemas.openxmlformats.org/officeDocument/2006/relationships" name="Invoer" sheetId="2" state="visible" r:id="rId2"/>
    <sheet xmlns:r="http://schemas.openxmlformats.org/officeDocument/2006/relationships" name="Nautiek" sheetId="3" state="visible" r:id="rId3"/>
    <sheet xmlns:r="http://schemas.openxmlformats.org/officeDocument/2006/relationships" name="Containers" sheetId="4" state="visible" r:id="rId4"/>
    <sheet xmlns:r="http://schemas.openxmlformats.org/officeDocument/2006/relationships" name="Overige terminals" sheetId="5" state="visible" r:id="rId5"/>
    <sheet xmlns:r="http://schemas.openxmlformats.org/officeDocument/2006/relationships" name="Grondwerk" sheetId="6" state="visible" r:id="rId6"/>
    <sheet xmlns:r="http://schemas.openxmlformats.org/officeDocument/2006/relationships" name="Afweging" sheetId="7" state="visible" r:id="rId7"/>
    <sheet xmlns:r="http://schemas.openxmlformats.org/officeDocument/2006/relationships" name="Keuz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000"/>
    <numFmt numFmtId="167" formatCode="0.000"/>
  </numFmts>
  <fonts count="7">
    <font>
      <name val="Carlito"/>
      <sz val="11"/>
    </font>
    <font>
      <name val="Arial"/>
      <color rgb="FF263640"/>
      <sz val="10"/>
    </font>
    <font>
      <name val="Arial"/>
      <b val="1"/>
      <color rgb="FF23445E"/>
      <sz val="15"/>
    </font>
    <font>
      <name val="Arial"/>
      <b val="1"/>
      <color rgb="FFFFFFFF"/>
      <sz val="10"/>
    </font>
    <font>
      <name val="Arial"/>
      <color rgb="FF263640"/>
      <sz val="8"/>
    </font>
    <font>
      <name val="Arial"/>
      <b val="1"/>
      <color rgb="FF23445E"/>
      <sz val="10"/>
    </font>
    <font>
      <name val="Arial"/>
      <b val="1"/>
      <color rgb="FF263640"/>
      <sz val="10"/>
    </font>
  </fonts>
  <fills count="11">
    <fill>
      <patternFill/>
    </fill>
    <fill>
      <patternFill patternType="gray125"/>
    </fill>
    <fill>
      <patternFill patternType="solid">
        <fgColor rgb="FF23445E"/>
      </patternFill>
    </fill>
    <fill>
      <patternFill patternType="solid">
        <fgColor rgb="FFFFF2CC"/>
      </patternFill>
    </fill>
    <fill>
      <patternFill patternType="solid">
        <fgColor rgb="FFE8EFF4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E8EFF4"/>
      </patternFill>
    </fill>
    <fill>
      <patternFill patternType="solid">
        <fgColor rgb="FF23445E"/>
      </patternFill>
    </fill>
    <fill>
      <patternFill patternType="solid">
        <fgColor rgb="FFFFFFFF"/>
      </patternFill>
    </fill>
    <fill>
      <patternFill patternType="solid">
        <fgColor rgb="00FFF3B0"/>
      </patternFill>
    </fill>
  </fills>
  <borders count="3">
    <border>
      <left/>
      <right/>
      <top/>
      <bottom/>
      <diagonal/>
    </border>
    <border>
      <left/>
      <right/>
      <top/>
      <bottom style="thin">
        <color rgb="FF23445E"/>
      </bottom>
      <diagonal/>
    </border>
    <border>
      <left style="dashed">
        <color rgb="FF23445E"/>
      </left>
      <right style="dashed">
        <color rgb="FF23445E"/>
      </right>
      <top style="dashed">
        <color rgb="FF23445E"/>
      </top>
      <bottom style="dashed">
        <color rgb="FF23445E"/>
      </bottom>
      <diagonal/>
    </border>
  </borders>
  <cellStyleXfs count="1">
    <xf numFmtId="0" fontId="0" fillId="0" borderId="0"/>
  </cellStyleXfs>
  <cellXfs count="1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pivotButton="0" quotePrefix="0" xfId="0"/>
    <xf numFmtId="0" fontId="1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1" fillId="3" borderId="0" pivotButton="0" quotePrefix="0" xfId="0"/>
    <xf numFmtId="0" fontId="3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1" fillId="3" borderId="0" applyAlignment="1" pivotButton="0" quotePrefix="0" xfId="0">
      <alignment vertical="center"/>
    </xf>
    <xf numFmtId="164" fontId="1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165" fontId="1" fillId="3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1" fillId="4" borderId="0" pivotButton="0" quotePrefix="0" xfId="0"/>
    <xf numFmtId="0" fontId="5" fillId="4" borderId="0" pivotButton="0" quotePrefix="0" xfId="0"/>
    <xf numFmtId="0" fontId="1" fillId="0" borderId="0" applyAlignment="1" pivotButton="0" quotePrefix="0" xfId="0">
      <alignment wrapText="1"/>
    </xf>
    <xf numFmtId="164" fontId="1" fillId="0" borderId="0" pivotButton="0" quotePrefix="0" xfId="0"/>
    <xf numFmtId="0" fontId="5" fillId="4" borderId="0" applyAlignment="1" pivotButton="0" quotePrefix="0" xfId="0">
      <alignment vertical="center"/>
    </xf>
    <xf numFmtId="164" fontId="5" fillId="4" borderId="0" applyAlignment="1" pivotButton="0" quotePrefix="0" xfId="0">
      <alignment vertical="center"/>
    </xf>
    <xf numFmtId="164" fontId="3" fillId="2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/>
    </xf>
    <xf numFmtId="167" fontId="1" fillId="0" borderId="0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9" fontId="1" fillId="3" borderId="0" pivotButton="0" quotePrefix="0" xfId="0"/>
    <xf numFmtId="9" fontId="1" fillId="3" borderId="0" applyAlignment="1" pivotButton="0" quotePrefix="0" xfId="0">
      <alignment vertical="center"/>
    </xf>
    <xf numFmtId="0" fontId="5" fillId="0" borderId="1" pivotButton="0" quotePrefix="0" xfId="0"/>
    <xf numFmtId="0" fontId="5" fillId="0" borderId="2" pivotButton="0" quotePrefix="0" xfId="0"/>
    <xf numFmtId="1" fontId="5" fillId="0" borderId="2" pivotButton="0" quotePrefix="0" xfId="0"/>
    <xf numFmtId="1" fontId="5" fillId="0" borderId="2" applyAlignment="1" pivotButton="0" quotePrefix="0" xfId="0">
      <alignment horizontal="center"/>
    </xf>
    <xf numFmtId="1" fontId="5" fillId="0" borderId="2" applyAlignment="1" pivotButton="0" quotePrefix="0" xfId="0">
      <alignment horizontal="center" vertical="center"/>
    </xf>
    <xf numFmtId="1" fontId="5" fillId="6" borderId="2" applyAlignment="1" pivotButton="0" quotePrefix="0" xfId="0">
      <alignment horizontal="center" vertical="center"/>
    </xf>
    <xf numFmtId="0" fontId="1" fillId="0" borderId="1" applyAlignment="1" pivotButton="0" quotePrefix="0" xfId="0">
      <alignment wrapText="1"/>
    </xf>
    <xf numFmtId="0" fontId="1" fillId="7" borderId="0" applyAlignment="1" pivotButton="0" quotePrefix="0" xfId="0">
      <alignment vertical="center"/>
    </xf>
    <xf numFmtId="0" fontId="1" fillId="7" borderId="0" applyAlignment="1" pivotButton="0" quotePrefix="0" xfId="0">
      <alignment vertical="center" wrapText="1"/>
    </xf>
    <xf numFmtId="164" fontId="1" fillId="7" borderId="0" applyAlignment="1" pivotButton="0" quotePrefix="0" xfId="0">
      <alignment vertical="center"/>
    </xf>
    <xf numFmtId="0" fontId="5" fillId="7" borderId="0" applyAlignment="1" pivotButton="0" quotePrefix="0" xfId="0">
      <alignment vertical="center"/>
    </xf>
    <xf numFmtId="0" fontId="5" fillId="7" borderId="0" applyAlignment="1" pivotButton="0" quotePrefix="0" xfId="0">
      <alignment vertical="center" wrapText="1"/>
    </xf>
    <xf numFmtId="164" fontId="5" fillId="7" borderId="0" applyAlignment="1" pivotButton="0" quotePrefix="0" xfId="0">
      <alignment vertical="center"/>
    </xf>
    <xf numFmtId="0" fontId="1" fillId="8" borderId="0" applyAlignment="1" pivotButton="0" quotePrefix="0" xfId="0">
      <alignment vertical="center"/>
    </xf>
    <xf numFmtId="0" fontId="1" fillId="8" borderId="0" applyAlignment="1" pivotButton="0" quotePrefix="0" xfId="0">
      <alignment vertical="center" wrapText="1"/>
    </xf>
    <xf numFmtId="164" fontId="1" fillId="8" borderId="0" applyAlignment="1" pivotButton="0" quotePrefix="0" xfId="0">
      <alignment vertical="center"/>
    </xf>
    <xf numFmtId="0" fontId="3" fillId="8" borderId="0" applyAlignment="1" pivotButton="0" quotePrefix="0" xfId="0">
      <alignment vertical="center"/>
    </xf>
    <xf numFmtId="0" fontId="3" fillId="8" borderId="0" applyAlignment="1" pivotButton="0" quotePrefix="0" xfId="0">
      <alignment vertical="center" wrapText="1"/>
    </xf>
    <xf numFmtId="164" fontId="3" fillId="8" borderId="0" applyAlignment="1" pivotButton="0" quotePrefix="0" xfId="0">
      <alignment vertical="center"/>
    </xf>
    <xf numFmtId="164" fontId="3" fillId="8" borderId="0" applyAlignment="1" pivotButton="0" quotePrefix="0" xfId="0">
      <alignment vertical="center" wrapText="1"/>
    </xf>
    <xf numFmtId="1" fontId="3" fillId="8" borderId="0" applyAlignment="1" pivotButton="0" quotePrefix="0" xfId="0">
      <alignment vertical="center" wrapText="1"/>
    </xf>
    <xf numFmtId="164" fontId="1" fillId="6" borderId="0" applyAlignment="1" pivotButton="0" quotePrefix="0" xfId="0">
      <alignment vertical="center"/>
    </xf>
    <xf numFmtId="3" fontId="1" fillId="6" borderId="0" applyAlignment="1" pivotButton="0" quotePrefix="0" xfId="0">
      <alignment vertical="center"/>
    </xf>
    <xf numFmtId="3" fontId="1" fillId="7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165" fontId="1" fillId="7" borderId="0" applyAlignment="1" pivotButton="0" quotePrefix="0" xfId="0">
      <alignment vertical="center"/>
    </xf>
    <xf numFmtId="164" fontId="1" fillId="9" borderId="0" applyAlignment="1" pivotButton="0" quotePrefix="0" xfId="0">
      <alignment vertical="center"/>
    </xf>
    <xf numFmtId="164" fontId="1" fillId="0" borderId="0" applyAlignment="1" pivotButton="0" quotePrefix="0" xfId="0">
      <alignment vertical="center" wrapText="1"/>
    </xf>
    <xf numFmtId="2" fontId="1" fillId="0" borderId="0" applyAlignment="1" pivotButton="0" quotePrefix="0" xfId="0">
      <alignment vertical="center" wrapText="1"/>
    </xf>
    <xf numFmtId="2" fontId="1" fillId="0" borderId="0" applyAlignment="1" pivotButton="0" quotePrefix="0" xfId="0">
      <alignment vertical="center"/>
    </xf>
    <xf numFmtId="164" fontId="1" fillId="7" borderId="0" applyAlignment="1" pivotButton="0" quotePrefix="0" xfId="0">
      <alignment vertical="center" wrapText="1"/>
    </xf>
    <xf numFmtId="164" fontId="1" fillId="6" borderId="0" applyAlignment="1" pivotButton="0" quotePrefix="0" xfId="0">
      <alignment vertical="center" wrapText="1"/>
    </xf>
    <xf numFmtId="9" fontId="1" fillId="0" borderId="0" applyAlignment="1" pivotButton="0" quotePrefix="0" xfId="0">
      <alignment vertical="center" wrapText="1"/>
    </xf>
    <xf numFmtId="0" fontId="1" fillId="7" borderId="0" pivotButton="0" quotePrefix="0" xfId="0"/>
    <xf numFmtId="0" fontId="5" fillId="7" borderId="0" pivotButton="0" quotePrefix="0" xfId="0"/>
    <xf numFmtId="0" fontId="6" fillId="4" borderId="0" applyAlignment="1" pivotButton="0" quotePrefix="0" xfId="0">
      <alignment vertical="center"/>
    </xf>
    <xf numFmtId="0" fontId="6" fillId="4" borderId="0" applyAlignment="1" pivotButton="0" quotePrefix="0" xfId="0">
      <alignment vertical="center" wrapText="1"/>
    </xf>
    <xf numFmtId="164" fontId="6" fillId="4" borderId="0" applyAlignment="1" pivotButton="0" quotePrefix="0" xfId="0">
      <alignment vertical="center"/>
    </xf>
    <xf numFmtId="0" fontId="6" fillId="7" borderId="0" applyAlignment="1" pivotButton="0" quotePrefix="0" xfId="0">
      <alignment vertical="center"/>
    </xf>
    <xf numFmtId="0" fontId="6" fillId="7" borderId="0" applyAlignment="1" pivotButton="0" quotePrefix="0" xfId="0">
      <alignment vertical="center" wrapText="1"/>
    </xf>
    <xf numFmtId="164" fontId="6" fillId="7" borderId="0" applyAlignment="1" pivotButton="0" quotePrefix="0" xfId="0">
      <alignment vertical="center"/>
    </xf>
    <xf numFmtId="1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horizontal="right" vertical="center"/>
    </xf>
    <xf numFmtId="3" fontId="1" fillId="0" borderId="0" applyAlignment="1" pivotButton="0" quotePrefix="0" xfId="0">
      <alignment horizontal="right" vertical="center"/>
    </xf>
    <xf numFmtId="164" fontId="1" fillId="0" borderId="0" applyAlignment="1" pivotButton="0" quotePrefix="0" xfId="0">
      <alignment horizontal="right" vertical="center" wrapText="1"/>
    </xf>
    <xf numFmtId="165" fontId="1" fillId="0" borderId="0" applyAlignment="1" pivotButton="0" quotePrefix="0" xfId="0">
      <alignment horizontal="right" vertical="center"/>
    </xf>
    <xf numFmtId="164" fontId="5" fillId="7" borderId="0" applyAlignment="1" pivotButton="0" quotePrefix="0" xfId="0">
      <alignment horizontal="right" vertical="center"/>
    </xf>
    <xf numFmtId="1" fontId="3" fillId="8" borderId="0" applyAlignment="1" pivotButton="0" quotePrefix="0" xfId="0">
      <alignment horizontal="right" vertical="center" wrapText="1"/>
    </xf>
    <xf numFmtId="164" fontId="1" fillId="0" borderId="0" applyAlignment="1" pivotButton="0" quotePrefix="0" xfId="0">
      <alignment horizontal="left" vertical="center" wrapText="1"/>
    </xf>
    <xf numFmtId="1" fontId="3" fillId="8" borderId="0" applyAlignment="1" pivotButton="0" quotePrefix="0" xfId="0">
      <alignment horizontal="center" vertical="center" wrapText="1"/>
    </xf>
    <xf numFmtId="1" fontId="5" fillId="0" borderId="2" applyAlignment="1" pivotButton="0" quotePrefix="0" xfId="0">
      <alignment horizontal="center" vertical="center"/>
    </xf>
    <xf numFmtId="3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2" fontId="1" fillId="0" borderId="0" applyAlignment="1" pivotButton="0" quotePrefix="0" xfId="0">
      <alignment vertical="center"/>
    </xf>
    <xf numFmtId="164" fontId="5" fillId="7" borderId="0" applyAlignment="1" pivotButton="0" quotePrefix="0" xfId="0">
      <alignment vertical="center"/>
    </xf>
    <xf numFmtId="164" fontId="1" fillId="0" borderId="0" applyAlignment="1" pivotButton="0" quotePrefix="0" xfId="0">
      <alignment vertical="center" wrapText="1"/>
    </xf>
    <xf numFmtId="1" fontId="3" fillId="8" borderId="0" applyAlignment="1" pivotButton="0" quotePrefix="0" xfId="0">
      <alignment vertical="center" wrapText="1"/>
    </xf>
    <xf numFmtId="1" fontId="1" fillId="0" borderId="0" applyAlignment="1" pivotButton="0" quotePrefix="0" xfId="0">
      <alignment vertical="center" wrapText="1"/>
    </xf>
    <xf numFmtId="1" fontId="5" fillId="10" borderId="2" applyAlignment="1" pivotButton="0" quotePrefix="0" xfId="0">
      <alignment horizontal="center" vertical="center"/>
    </xf>
    <xf numFmtId="164" fontId="1" fillId="3" borderId="0" applyAlignment="1" pivotButton="0" quotePrefix="0" xfId="0">
      <alignment vertical="center"/>
    </xf>
    <xf numFmtId="165" fontId="1" fillId="3" borderId="0" applyAlignment="1" pivotButton="0" quotePrefix="0" xfId="0">
      <alignment vertical="center"/>
    </xf>
    <xf numFmtId="164" fontId="1" fillId="9" borderId="0" applyAlignment="1" pivotButton="0" quotePrefix="0" xfId="0">
      <alignment vertical="center"/>
    </xf>
    <xf numFmtId="164" fontId="1" fillId="7" borderId="0" applyAlignment="1" pivotButton="0" quotePrefix="0" xfId="0">
      <alignment vertical="center"/>
    </xf>
    <xf numFmtId="3" fontId="1" fillId="10" borderId="0" applyAlignment="1" pivotButton="0" quotePrefix="0" xfId="0">
      <alignment vertical="center"/>
    </xf>
    <xf numFmtId="3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3" fontId="1" fillId="7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164" fontId="1" fillId="10" borderId="0" applyAlignment="1" pivotButton="0" quotePrefix="0" xfId="0">
      <alignment vertical="center"/>
    </xf>
    <xf numFmtId="165" fontId="1" fillId="10" borderId="0" applyAlignment="1" pivotButton="0" quotePrefix="0" xfId="0">
      <alignment vertical="center"/>
    </xf>
    <xf numFmtId="165" fontId="1" fillId="7" borderId="0" applyAlignment="1" pivotButton="0" quotePrefix="0" xfId="0">
      <alignment vertical="center"/>
    </xf>
    <xf numFmtId="164" fontId="5" fillId="4" borderId="0" applyAlignment="1" pivotButton="0" quotePrefix="0" xfId="0">
      <alignment vertical="center"/>
    </xf>
    <xf numFmtId="167" fontId="1" fillId="0" borderId="0" applyAlignment="1" pivotButton="0" quotePrefix="0" xfId="0">
      <alignment vertical="center"/>
    </xf>
    <xf numFmtId="164" fontId="3" fillId="2" borderId="0" applyAlignment="1" pivotButton="0" quotePrefix="0" xfId="0">
      <alignment vertical="center" wrapText="1"/>
    </xf>
    <xf numFmtId="2" fontId="1" fillId="0" borderId="0" applyAlignment="1" pivotButton="0" quotePrefix="0" xfId="0">
      <alignment vertical="center" wrapText="1"/>
    </xf>
    <xf numFmtId="166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horizontal="right" vertical="center"/>
    </xf>
    <xf numFmtId="3" fontId="1" fillId="0" borderId="0" applyAlignment="1" pivotButton="0" quotePrefix="0" xfId="0">
      <alignment horizontal="right" vertical="center"/>
    </xf>
    <xf numFmtId="164" fontId="1" fillId="0" borderId="0" applyAlignment="1" pivotButton="0" quotePrefix="0" xfId="0">
      <alignment horizontal="left" vertical="center" wrapText="1"/>
    </xf>
    <xf numFmtId="164" fontId="1" fillId="0" borderId="0" pivotButton="0" quotePrefix="0" xfId="0"/>
    <xf numFmtId="165" fontId="1" fillId="0" borderId="0" applyAlignment="1" pivotButton="0" quotePrefix="0" xfId="0">
      <alignment horizontal="right" vertical="center"/>
    </xf>
    <xf numFmtId="164" fontId="5" fillId="7" borderId="0" applyAlignment="1" pivotButton="0" quotePrefix="0" xfId="0">
      <alignment horizontal="right" vertical="center"/>
    </xf>
    <xf numFmtId="1" fontId="3" fillId="8" borderId="0" applyAlignment="1" pivotButton="0" quotePrefix="0" xfId="0">
      <alignment horizontal="center" vertical="center" wrapText="1"/>
    </xf>
    <xf numFmtId="164" fontId="1" fillId="10" borderId="0" applyAlignment="1" pivotButton="0" quotePrefix="0" xfId="0">
      <alignment vertical="center" wrapText="1"/>
    </xf>
    <xf numFmtId="9" fontId="1" fillId="0" borderId="0" applyAlignment="1" pivotButton="0" quotePrefix="0" xfId="0">
      <alignment vertical="center" wrapText="1"/>
    </xf>
    <xf numFmtId="9" fontId="1" fillId="0" borderId="0" applyAlignment="1" pivotButton="0" quotePrefix="0" xfId="0">
      <alignment vertical="center"/>
    </xf>
    <xf numFmtId="9" fontId="1" fillId="3" borderId="0" applyAlignment="1" pivotButton="0" quotePrefix="0" xfId="0">
      <alignment vertical="center"/>
    </xf>
  </cellXfs>
  <cellStyles count="1">
    <cellStyle name="Normal" xfId="0"/>
  </cellStyles>
  <dxfs count="13">
    <dxf>
      <font>
        <b val="1"/>
        <color rgb="FF9A2323"/>
      </font>
      <fill>
        <patternFill>
          <bgColor rgb="FFFBE4E4"/>
        </patternFill>
      </fill>
    </dxf>
    <dxf>
      <font>
        <b val="1"/>
        <color rgb="FF9A2323"/>
      </font>
      <fill>
        <patternFill>
          <bgColor rgb="FFFBE4E4"/>
        </patternFill>
      </fill>
    </dxf>
    <dxf>
      <font>
        <b val="1"/>
        <color rgb="FF9A2323"/>
      </font>
      <fill>
        <patternFill>
          <bgColor rgb="FFFBE4E4"/>
        </patternFill>
      </fill>
    </dxf>
    <dxf>
      <font>
        <b val="1"/>
        <color rgb="FF9A2323"/>
      </font>
      <fill>
        <patternFill patternType="solid">
          <bgColor rgb="FFFBE4E4"/>
        </patternFill>
      </fill>
    </dxf>
    <dxf>
      <font>
        <b val="1"/>
        <color rgb="FF9A2323"/>
      </font>
      <fill>
        <patternFill patternType="solid">
          <bgColor rgb="FFFBE4E4"/>
        </patternFill>
      </fill>
    </dxf>
    <dxf>
      <font>
        <b val="1"/>
        <color rgb="FF9A2323"/>
      </font>
      <fill>
        <patternFill patternType="solid">
          <bgColor rgb="FFFBE4E4"/>
        </patternFill>
      </fill>
    </dxf>
    <dxf>
      <font>
        <b val="1"/>
        <color rgb="FF9A2323"/>
      </font>
      <fill>
        <patternFill patternType="solid">
          <bgColor rgb="FFFBE4E4"/>
        </patternFill>
      </fill>
    </dxf>
    <dxf>
      <font>
        <b val="1"/>
        <color rgb="FF9A2323"/>
      </font>
      <fill>
        <patternFill patternType="solid">
          <bgColor rgb="FFFBE4E4"/>
        </patternFill>
      </fill>
    </dxf>
    <dxf>
      <font>
        <b val="1"/>
        <color rgb="FF9A2323"/>
      </font>
      <fill>
        <patternFill patternType="solid">
          <bgColor rgb="FFFBE4E4"/>
        </patternFill>
      </fill>
    </dxf>
    <dxf>
      <font>
        <b val="1"/>
        <color rgb="FF9A2323"/>
      </font>
      <fill>
        <patternFill patternType="solid">
          <bgColor rgb="FFFBE4E4"/>
        </patternFill>
      </fill>
    </dxf>
    <dxf>
      <font>
        <b val="1"/>
        <color rgb="FF9A2323"/>
      </font>
      <fill>
        <patternFill patternType="solid">
          <bgColor rgb="FFFBE4E4"/>
        </patternFill>
      </fill>
    </dxf>
    <dxf>
      <font>
        <b val="1"/>
        <color rgb="FF9A2323"/>
      </font>
      <fill>
        <patternFill patternType="solid">
          <bgColor rgb="FFFBE4E4"/>
        </patternFill>
      </fill>
    </dxf>
    <dxf>
      <font>
        <b val="1"/>
        <color rgb="FF9A2323"/>
      </font>
      <fill>
        <patternFill patternType="solid">
          <bgColor rgb="FFFBE4E4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3445E"/>
    <outlinePr summaryBelow="1" summaryRight="1"/>
    <pageSetUpPr/>
  </sheetPr>
  <dimension ref="A1:H10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8" customWidth="1" min="3" max="3"/>
    <col width="17" customWidth="1" min="4" max="4"/>
    <col width="17" customWidth="1" min="5" max="5"/>
    <col width="17" customWidth="1" min="6" max="6"/>
    <col width="24" customWidth="1" min="7" max="7"/>
    <col width="68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Havenontwerp Groep 1 volgens Haven DO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3" t="n"/>
      <c r="B3" s="3" t="inlineStr">
        <is>
          <t>Actieve LNG-tanks</t>
        </is>
      </c>
      <c r="C3" s="3" t="n"/>
      <c r="D3" s="82">
        <f>'Invoer'!$D$3</f>
        <v/>
      </c>
      <c r="E3" s="3" t="n"/>
      <c r="F3" s="3" t="n"/>
      <c r="G3" s="3" t="inlineStr">
        <is>
          <t>Versie 3.1 DO (tekening 8.3)</t>
        </is>
      </c>
      <c r="H3" s="3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27" customHeight="1">
      <c r="A5" s="8" t="inlineStr">
        <is>
          <t>Ref</t>
        </is>
      </c>
      <c r="B5" s="8" t="inlineStr">
        <is>
          <t>Ontwerpresultaat</t>
        </is>
      </c>
      <c r="C5" s="8" t="inlineStr">
        <is>
          <t>Eenheid</t>
        </is>
      </c>
      <c r="D5" s="8" t="inlineStr">
        <is>
          <t>2025</t>
        </is>
      </c>
      <c r="E5" s="8" t="inlineStr">
        <is>
          <t>2035</t>
        </is>
      </c>
      <c r="F5" s="8" t="inlineStr">
        <is>
          <t>2045</t>
        </is>
      </c>
      <c r="G5" s="8" t="inlineStr">
        <is>
          <t>Betekenis</t>
        </is>
      </c>
      <c r="H5" s="9" t="n"/>
    </row>
    <row r="6" ht="27" customHeight="1">
      <c r="A6" s="9" t="inlineStr">
        <is>
          <t>R01</t>
        </is>
      </c>
      <c r="B6" s="13" t="inlineStr">
        <is>
          <t>Containerligplaatsen vereist</t>
        </is>
      </c>
      <c r="C6" s="9" t="inlineStr">
        <is>
          <t>aantal</t>
        </is>
      </c>
      <c r="D6" s="83">
        <f>'Containers'!D15</f>
        <v/>
      </c>
      <c r="E6" s="83">
        <f>'Containers'!E15</f>
        <v/>
      </c>
      <c r="F6" s="83">
        <f>'Containers'!F15</f>
        <v/>
      </c>
      <c r="G6" s="9" t="n"/>
      <c r="H6" s="9" t="n"/>
    </row>
    <row r="7" ht="27" customHeight="1">
      <c r="A7" s="9" t="inlineStr">
        <is>
          <t>R02</t>
        </is>
      </c>
      <c r="B7" s="13" t="inlineStr">
        <is>
          <t>Containerligplaatsen gepland</t>
        </is>
      </c>
      <c r="C7" s="9" t="inlineStr">
        <is>
          <t>aantal</t>
        </is>
      </c>
      <c r="D7" s="83">
        <f>'Containers'!D16</f>
        <v/>
      </c>
      <c r="E7" s="83">
        <f>'Containers'!E16</f>
        <v/>
      </c>
      <c r="F7" s="83">
        <f>'Containers'!F16</f>
        <v/>
      </c>
      <c r="G7" s="9" t="n"/>
      <c r="H7" s="9" t="n"/>
    </row>
    <row r="8" ht="27" customHeight="1">
      <c r="A8" s="9" t="inlineStr">
        <is>
          <t>R03</t>
        </is>
      </c>
      <c r="B8" s="13" t="inlineStr">
        <is>
          <t>Bezetting containerkade</t>
        </is>
      </c>
      <c r="C8" s="9" t="inlineStr">
        <is>
          <t>deel</t>
        </is>
      </c>
      <c r="D8" s="84">
        <f>'Containers'!D17</f>
        <v/>
      </c>
      <c r="E8" s="84">
        <f>'Containers'!E17</f>
        <v/>
      </c>
      <c r="F8" s="84">
        <f>'Containers'!F17</f>
        <v/>
      </c>
      <c r="G8" s="9" t="n"/>
      <c r="H8" s="9" t="n"/>
    </row>
    <row r="9" ht="27" customHeight="1">
      <c r="A9" s="9" t="inlineStr">
        <is>
          <t>R04</t>
        </is>
      </c>
      <c r="B9" s="13" t="inlineStr">
        <is>
          <t>Containerkade gemeten</t>
        </is>
      </c>
      <c r="C9" s="9" t="inlineStr">
        <is>
          <t>m</t>
        </is>
      </c>
      <c r="D9" s="85">
        <f>'Containers'!D18</f>
        <v/>
      </c>
      <c r="E9" s="85">
        <f>'Containers'!E18</f>
        <v/>
      </c>
      <c r="F9" s="85">
        <f>'Containers'!F18</f>
        <v/>
      </c>
      <c r="G9" s="9" t="n"/>
      <c r="H9" s="9" t="n"/>
    </row>
    <row r="10" ht="27" customHeight="1">
      <c r="A10" s="9" t="inlineStr">
        <is>
          <t>R05</t>
        </is>
      </c>
      <c r="B10" s="13" t="inlineStr">
        <is>
          <t>STS-kranen gelijktijdig</t>
        </is>
      </c>
      <c r="C10" s="9" t="inlineStr">
        <is>
          <t>aantal</t>
        </is>
      </c>
      <c r="D10" s="83">
        <f>'Containers'!D19</f>
        <v/>
      </c>
      <c r="E10" s="83">
        <f>'Containers'!E19</f>
        <v/>
      </c>
      <c r="F10" s="83">
        <f>'Containers'!F19</f>
        <v/>
      </c>
      <c r="G10" s="9" t="n"/>
      <c r="H10" s="9" t="n"/>
    </row>
    <row r="11" ht="27" customHeight="1">
      <c r="A11" s="9" t="inlineStr">
        <is>
          <t>R06</t>
        </is>
      </c>
      <c r="B11" s="13" t="inlineStr">
        <is>
          <t>Containerterrein nodig</t>
        </is>
      </c>
      <c r="C11" s="9" t="inlineStr">
        <is>
          <t>ha</t>
        </is>
      </c>
      <c r="D11" s="85">
        <f>'Containers'!D27</f>
        <v/>
      </c>
      <c r="E11" s="85">
        <f>'Containers'!E27</f>
        <v/>
      </c>
      <c r="F11" s="85">
        <f>'Containers'!F27</f>
        <v/>
      </c>
      <c r="G11" s="9" t="n"/>
      <c r="H11" s="9" t="n"/>
    </row>
    <row r="12" ht="27" customHeight="1">
      <c r="A12" s="9" t="inlineStr">
        <is>
          <t>R07</t>
        </is>
      </c>
      <c r="B12" s="13" t="inlineStr">
        <is>
          <t>Containerterrein gemeten</t>
        </is>
      </c>
      <c r="C12" s="9" t="inlineStr">
        <is>
          <t>ha</t>
        </is>
      </c>
      <c r="D12" s="86">
        <f>'Containers'!D28</f>
        <v/>
      </c>
      <c r="E12" s="86">
        <f>'Containers'!E28</f>
        <v/>
      </c>
      <c r="F12" s="86">
        <f>'Containers'!F28</f>
        <v/>
      </c>
      <c r="G12" s="9" t="n"/>
      <c r="H12" s="9" t="n"/>
    </row>
    <row r="13" ht="27" customHeight="1">
      <c r="A13" s="9" t="inlineStr">
        <is>
          <t>R08</t>
        </is>
      </c>
      <c r="B13" s="13" t="inlineStr">
        <is>
          <t>Graanterrein referentiemodel</t>
        </is>
      </c>
      <c r="C13" s="9" t="inlineStr">
        <is>
          <t>ha</t>
        </is>
      </c>
      <c r="D13" s="85">
        <f>'Overige terminals'!D10</f>
        <v/>
      </c>
      <c r="E13" s="85">
        <f>'Overige terminals'!E10</f>
        <v/>
      </c>
      <c r="F13" s="85">
        <f>'Overige terminals'!F10</f>
        <v/>
      </c>
      <c r="G13" s="9" t="n"/>
      <c r="H13" s="9" t="n"/>
    </row>
    <row r="14" ht="27" customHeight="1">
      <c r="A14" s="9" t="inlineStr">
        <is>
          <t>R09</t>
        </is>
      </c>
      <c r="B14" s="13" t="inlineStr">
        <is>
          <t>RoRo terrein nodig</t>
        </is>
      </c>
      <c r="C14" s="9" t="inlineStr">
        <is>
          <t>ha</t>
        </is>
      </c>
      <c r="D14" s="85">
        <f>'Overige terminals'!D16</f>
        <v/>
      </c>
      <c r="E14" s="85">
        <f>'Overige terminals'!E16</f>
        <v/>
      </c>
      <c r="F14" s="85">
        <f>'Overige terminals'!F16</f>
        <v/>
      </c>
      <c r="G14" s="9" t="n"/>
      <c r="H14" s="9" t="n"/>
    </row>
    <row r="15" ht="27" customHeight="1">
      <c r="A15" s="9" t="inlineStr">
        <is>
          <t>R10</t>
        </is>
      </c>
      <c r="B15" s="13" t="inlineStr">
        <is>
          <t>LNG-calls afgerond</t>
        </is>
      </c>
      <c r="C15" s="9" t="inlineStr">
        <is>
          <t>calls/jaar</t>
        </is>
      </c>
      <c r="D15" s="83">
        <f>'Overige terminals'!D19</f>
        <v/>
      </c>
      <c r="E15" s="83">
        <f>'Overige terminals'!E19</f>
        <v/>
      </c>
      <c r="F15" s="83">
        <f>'Overige terminals'!F19</f>
        <v/>
      </c>
      <c r="G15" s="9" t="n"/>
      <c r="H15" s="9" t="n"/>
    </row>
    <row r="16" ht="27" customHeight="1">
      <c r="A16" s="9" t="inlineStr">
        <is>
          <t>R11</t>
        </is>
      </c>
      <c r="B16" s="13" t="inlineStr">
        <is>
          <t>LNG opslagmarge</t>
        </is>
      </c>
      <c r="C16" s="9" t="inlineStr">
        <is>
          <t>m3</t>
        </is>
      </c>
      <c r="D16" s="85">
        <f>'Overige terminals'!D25</f>
        <v/>
      </c>
      <c r="E16" s="85">
        <f>'Overige terminals'!E25</f>
        <v/>
      </c>
      <c r="F16" s="85">
        <f>'Overige terminals'!F25</f>
        <v/>
      </c>
      <c r="G16" s="9" t="n"/>
      <c r="H16" s="9" t="n"/>
    </row>
    <row r="17" ht="27" customHeight="1">
      <c r="A17" s="9" t="inlineStr">
        <is>
          <t>R12</t>
        </is>
      </c>
      <c r="B17" s="13" t="inlineStr">
        <is>
          <t>LNG opslagmarge bij tank uit</t>
        </is>
      </c>
      <c r="C17" s="9" t="inlineStr">
        <is>
          <t>m3</t>
        </is>
      </c>
      <c r="D17" s="85">
        <f>'Overige terminals'!D27</f>
        <v/>
      </c>
      <c r="E17" s="85">
        <f>'Overige terminals'!E27</f>
        <v/>
      </c>
      <c r="F17" s="85">
        <f>'Overige terminals'!F27</f>
        <v/>
      </c>
      <c r="G17" s="9" t="n"/>
      <c r="H17" s="9" t="n"/>
    </row>
    <row r="18" ht="27" customHeight="1">
      <c r="A18" s="9" t="inlineStr">
        <is>
          <t>R13</t>
        </is>
      </c>
      <c r="B18" s="13" t="inlineStr">
        <is>
          <t>Centrale vermogen voorbeeld</t>
        </is>
      </c>
      <c r="C18" s="9" t="inlineStr">
        <is>
          <t>MW</t>
        </is>
      </c>
      <c r="D18" s="85">
        <f>'Overige terminals'!D30</f>
        <v/>
      </c>
      <c r="E18" s="85">
        <f>'Overige terminals'!E30</f>
        <v/>
      </c>
      <c r="F18" s="85">
        <f>'Overige terminals'!F30</f>
        <v/>
      </c>
      <c r="G18" s="9" t="n"/>
      <c r="H18" s="9" t="n"/>
    </row>
    <row r="19" ht="27" customHeight="1">
      <c r="A19" s="9" t="n"/>
      <c r="B19" s="13" t="n"/>
      <c r="C19" s="9" t="n"/>
      <c r="D19" s="85" t="n"/>
      <c r="E19" s="85" t="n"/>
      <c r="F19" s="85" t="n"/>
      <c r="G19" s="9" t="n"/>
      <c r="H19" s="9" t="n"/>
    </row>
    <row r="20" ht="27" customHeight="1">
      <c r="A20" s="9" t="n"/>
      <c r="B20" s="13" t="n"/>
      <c r="C20" s="9" t="n"/>
      <c r="D20" s="85" t="n"/>
      <c r="E20" s="85" t="n"/>
      <c r="F20" s="85" t="n"/>
      <c r="G20" s="9" t="n"/>
      <c r="H20" s="9" t="n"/>
    </row>
    <row r="21" ht="25" customHeight="1">
      <c r="A21" s="42" t="inlineStr">
        <is>
          <t>Nautische maten volgens de DWG</t>
        </is>
      </c>
      <c r="B21" s="43" t="n"/>
      <c r="C21" s="43" t="n"/>
      <c r="D21" s="87" t="n"/>
      <c r="E21" s="87" t="n"/>
      <c r="F21" s="87" t="n"/>
      <c r="G21" s="43" t="n"/>
      <c r="H21" s="43" t="n"/>
    </row>
    <row r="22" ht="31" customHeight="1">
      <c r="A22" s="9" t="n"/>
      <c r="B22" s="13" t="n"/>
      <c r="C22" s="13" t="n"/>
      <c r="D22" s="85" t="n"/>
      <c r="E22" s="85" t="n"/>
      <c r="F22" s="85" t="n"/>
      <c r="G22" s="13" t="n"/>
      <c r="H22" s="13" t="n"/>
    </row>
    <row r="23" ht="31" customHeight="1">
      <c r="A23" s="9" t="n"/>
      <c r="B23" s="13" t="inlineStr">
        <is>
          <t>Rechte geulbreedte</t>
        </is>
      </c>
      <c r="C23" s="13" t="inlineStr">
        <is>
          <t>m</t>
        </is>
      </c>
      <c r="D23" s="85">
        <f>'Nautiek'!D20</f>
        <v/>
      </c>
      <c r="E23" s="85" t="n"/>
      <c r="F23" s="85" t="n"/>
      <c r="G23" s="13" t="n"/>
      <c r="H23" s="13" t="n"/>
    </row>
    <row r="24" ht="31" customHeight="1">
      <c r="A24" s="9" t="n"/>
      <c r="B24" s="13" t="inlineStr">
        <is>
          <t>Breedte geulbocht</t>
        </is>
      </c>
      <c r="C24" s="13" t="inlineStr">
        <is>
          <t>m</t>
        </is>
      </c>
      <c r="D24" s="85">
        <f>'Nautiek'!D46</f>
        <v/>
      </c>
      <c r="E24" s="85" t="n"/>
      <c r="F24" s="85" t="n"/>
      <c r="G24" s="13" t="n"/>
      <c r="H24" s="13" t="n"/>
    </row>
    <row r="25" ht="31" customHeight="1">
      <c r="A25" s="9" t="n"/>
      <c r="B25" s="13" t="inlineStr">
        <is>
          <t>Diepte hoofdgeul</t>
        </is>
      </c>
      <c r="C25" s="13" t="inlineStr">
        <is>
          <t>m MLWS</t>
        </is>
      </c>
      <c r="D25" s="85">
        <f>'Nautiek'!D25</f>
        <v/>
      </c>
      <c r="E25" s="85" t="n"/>
      <c r="F25" s="85" t="n"/>
      <c r="G25" s="13" t="n"/>
      <c r="H25" s="13" t="n"/>
    </row>
    <row r="26" ht="31" customHeight="1">
      <c r="A26" s="9" t="n"/>
      <c r="B26" s="13" t="inlineStr">
        <is>
          <t>Diepte LNG-vaarweg</t>
        </is>
      </c>
      <c r="C26" s="13" t="inlineStr">
        <is>
          <t>m MLWS</t>
        </is>
      </c>
      <c r="D26" s="85">
        <f>'Nautiek'!D60</f>
        <v/>
      </c>
      <c r="E26" s="85" t="n"/>
      <c r="F26" s="85" t="n"/>
      <c r="G26" s="13" t="n"/>
      <c r="H26" s="13" t="n"/>
    </row>
    <row r="27" ht="31" customHeight="1">
      <c r="A27" s="9" t="n"/>
      <c r="B27" s="13" t="inlineStr">
        <is>
          <t>Diepte RoRo-zone</t>
        </is>
      </c>
      <c r="C27" s="13" t="inlineStr">
        <is>
          <t>m MLWS</t>
        </is>
      </c>
      <c r="D27" s="85">
        <f>'Nautiek'!D61</f>
        <v/>
      </c>
      <c r="E27" s="85" t="n"/>
      <c r="F27" s="85" t="n"/>
      <c r="G27" s="13" t="n"/>
      <c r="H27" s="13" t="n"/>
    </row>
    <row r="28" ht="31" customHeight="1">
      <c r="A28" s="9" t="n"/>
      <c r="B28" s="13" t="inlineStr">
        <is>
          <t>Buitenste draaikom</t>
        </is>
      </c>
      <c r="C28" s="13" t="inlineStr">
        <is>
          <t>m</t>
        </is>
      </c>
      <c r="D28" s="85">
        <f>'Nautiek'!D28</f>
        <v/>
      </c>
      <c r="E28" s="85" t="n"/>
      <c r="F28" s="85" t="n"/>
      <c r="G28" s="13" t="n"/>
      <c r="H28" s="13" t="n"/>
    </row>
    <row r="29" ht="31" customHeight="1">
      <c r="A29" s="9" t="n"/>
      <c r="B29" s="13" t="inlineStr">
        <is>
          <t>Binnenste zwaaiplaats</t>
        </is>
      </c>
      <c r="C29" s="13" t="inlineStr">
        <is>
          <t>m</t>
        </is>
      </c>
      <c r="D29" s="85">
        <f>'Nautiek'!D45</f>
        <v/>
      </c>
      <c r="E29" s="85" t="n"/>
      <c r="F29" s="85" t="n"/>
      <c r="G29" s="13" t="n"/>
      <c r="H29" s="13" t="n"/>
    </row>
    <row r="30" ht="31" customHeight="1">
      <c r="A30" s="9" t="n"/>
      <c r="B30" s="13" t="inlineStr">
        <is>
          <t>Havenmond</t>
        </is>
      </c>
      <c r="C30" s="13" t="inlineStr">
        <is>
          <t>m</t>
        </is>
      </c>
      <c r="D30" s="85">
        <f>'Nautiek'!D29</f>
        <v/>
      </c>
      <c r="E30" s="85" t="n"/>
      <c r="F30" s="85" t="n"/>
      <c r="G30" s="13" t="n"/>
      <c r="H30" s="13" t="n"/>
    </row>
    <row r="31" ht="31" customHeight="1">
      <c r="A31" s="9" t="n"/>
      <c r="B31" s="13" t="inlineStr">
        <is>
          <t>Totale hoofdgeulas</t>
        </is>
      </c>
      <c r="C31" s="13" t="inlineStr">
        <is>
          <t>m</t>
        </is>
      </c>
      <c r="D31" s="85">
        <f>'Nautiek'!D31</f>
        <v/>
      </c>
      <c r="E31" s="85" t="n"/>
      <c r="F31" s="85" t="n"/>
      <c r="G31" s="13" t="n"/>
      <c r="H31" s="13" t="n"/>
    </row>
    <row r="32" ht="31" customHeight="1">
      <c r="A32" s="9" t="n"/>
      <c r="B32" s="13" t="inlineStr">
        <is>
          <t>Geulas buiten de mond</t>
        </is>
      </c>
      <c r="C32" s="13" t="inlineStr">
        <is>
          <t>m</t>
        </is>
      </c>
      <c r="D32" s="85">
        <f>'Nautiek'!D50</f>
        <v/>
      </c>
      <c r="E32" s="85" t="n"/>
      <c r="F32" s="85" t="n"/>
      <c r="G32" s="13" t="n"/>
      <c r="H32" s="13" t="n"/>
    </row>
    <row r="33" ht="31" customHeight="1">
      <c r="A33" s="9" t="n"/>
      <c r="B33" s="13" t="inlineStr">
        <is>
          <t>Straal geulbocht</t>
        </is>
      </c>
      <c r="C33" s="13" t="inlineStr">
        <is>
          <t>m</t>
        </is>
      </c>
      <c r="D33" s="85">
        <f>'Nautiek'!D47</f>
        <v/>
      </c>
      <c r="E33" s="85" t="n"/>
      <c r="F33" s="85" t="n"/>
      <c r="G33" s="13" t="n"/>
      <c r="H33" s="13" t="n"/>
    </row>
    <row r="34" ht="43" customHeight="1">
      <c r="A34" s="9" t="n"/>
      <c r="B34" s="13" t="inlineStr">
        <is>
          <t>Binnenste kom tegen eerder criterium</t>
        </is>
      </c>
      <c r="C34" s="13" t="n"/>
      <c r="D34" s="88">
        <f>'Nautiek'!D54</f>
        <v/>
      </c>
      <c r="E34" s="88" t="n"/>
      <c r="F34" s="88" t="n"/>
      <c r="G34" s="13" t="n"/>
      <c r="H34" s="13" t="n"/>
    </row>
    <row r="35" ht="31" customHeight="1">
      <c r="A35" s="9" t="n"/>
      <c r="B35" s="13" t="n"/>
      <c r="C35" s="13" t="n"/>
      <c r="D35" s="85" t="n"/>
      <c r="E35" s="85" t="n"/>
      <c r="F35" s="85" t="n"/>
      <c r="G35" s="13" t="n"/>
      <c r="H35" s="13" t="n"/>
    </row>
    <row r="36" ht="25" customHeight="1">
      <c r="A36" s="42" t="inlineStr">
        <is>
          <t>Opslagcapaciteit en open gegevens</t>
        </is>
      </c>
      <c r="B36" s="43" t="n"/>
      <c r="C36" s="43" t="n"/>
      <c r="D36" s="87" t="n"/>
      <c r="E36" s="87" t="n"/>
      <c r="F36" s="87" t="n"/>
      <c r="G36" s="43" t="n"/>
      <c r="H36" s="43" t="n"/>
    </row>
    <row r="37" ht="32" customHeight="1">
      <c r="A37" s="49" t="inlineStr">
        <is>
          <t>Ref</t>
        </is>
      </c>
      <c r="B37" s="49" t="inlineStr">
        <is>
          <t>Onderdeel</t>
        </is>
      </c>
      <c r="C37" s="49" t="inlineStr">
        <is>
          <t>Eenheid</t>
        </is>
      </c>
      <c r="D37" s="89" t="inlineStr">
        <is>
          <t>2025</t>
        </is>
      </c>
      <c r="E37" s="89" t="inlineStr">
        <is>
          <t>2035</t>
        </is>
      </c>
      <c r="F37" s="89" t="inlineStr">
        <is>
          <t>2045</t>
        </is>
      </c>
      <c r="G37" s="49" t="inlineStr">
        <is>
          <t>Betekenis</t>
        </is>
      </c>
      <c r="H37" s="49" t="str"/>
    </row>
    <row r="38" ht="48" customHeight="1">
      <c r="A38" s="9" t="inlineStr">
        <is>
          <t>R14</t>
        </is>
      </c>
      <c r="B38" s="13" t="inlineStr">
        <is>
          <t>Marge aparte lege-vakken</t>
        </is>
      </c>
      <c r="C38" s="13" t="inlineStr">
        <is>
          <t>TEU</t>
        </is>
      </c>
      <c r="D38" s="85">
        <f>'Containers'!D48</f>
        <v/>
      </c>
      <c r="E38" s="85">
        <f>'Containers'!E48</f>
        <v/>
      </c>
      <c r="F38" s="85">
        <f>'Containers'!F48</f>
        <v/>
      </c>
      <c r="G38" s="13" t="inlineStr">
        <is>
          <t>Ruwe bovengrens; gedeelde opslag nog kiezen</t>
        </is>
      </c>
      <c r="H38" s="13" t="n"/>
    </row>
    <row r="39" ht="48" customHeight="1">
      <c r="A39" s="9" t="inlineStr">
        <is>
          <t>R15</t>
        </is>
      </c>
      <c r="B39" s="13" t="inlineStr">
        <is>
          <t>Toets totale containeropslag</t>
        </is>
      </c>
      <c r="C39" s="13" t="inlineStr">
        <is>
          <t>-</t>
        </is>
      </c>
      <c r="D39" s="88">
        <f>'Containers'!D41</f>
        <v/>
      </c>
      <c r="E39" s="88">
        <f>'Containers'!E41</f>
        <v/>
      </c>
      <c r="F39" s="88">
        <f>'Containers'!F41</f>
        <v/>
      </c>
      <c r="G39" s="13" t="inlineStr">
        <is>
          <t>Bruikbare grondslots ontbreken</t>
        </is>
      </c>
      <c r="H39" s="13" t="n"/>
    </row>
    <row r="40" ht="48" customHeight="1">
      <c r="A40" s="9" t="inlineStr">
        <is>
          <t>R16</t>
        </is>
      </c>
      <c r="B40" s="13" t="inlineStr">
        <is>
          <t>Marge aangewezen RoRo-parkeervlakken</t>
        </is>
      </c>
      <c r="C40" s="13" t="inlineStr">
        <is>
          <t>auto</t>
        </is>
      </c>
      <c r="D40" s="85">
        <f>'Overige terminals'!D65</f>
        <v/>
      </c>
      <c r="E40" s="85">
        <f>'Overige terminals'!E65</f>
        <v/>
      </c>
      <c r="F40" s="85">
        <f>'Overige terminals'!F65</f>
        <v/>
      </c>
      <c r="G40" s="13" t="inlineStr">
        <is>
          <t>Bij 30 m2 per auto incl. rijruimte</t>
        </is>
      </c>
      <c r="H40" s="13" t="n"/>
    </row>
    <row r="41" ht="48" customHeight="1">
      <c r="A41" s="9" t="inlineStr">
        <is>
          <t>R17</t>
        </is>
      </c>
      <c r="B41" s="13" t="inlineStr">
        <is>
          <t>Loodsvoorraad nodig naast silo’s</t>
        </is>
      </c>
      <c r="C41" s="13" t="inlineStr">
        <is>
          <t>ton</t>
        </is>
      </c>
      <c r="D41" s="85">
        <f>'Overige terminals'!D49</f>
        <v/>
      </c>
      <c r="E41" s="85">
        <f>'Overige terminals'!E49</f>
        <v/>
      </c>
      <c r="F41" s="85">
        <f>'Overige terminals'!F49</f>
        <v/>
      </c>
      <c r="G41" s="13" t="inlineStr">
        <is>
          <t>Bij indicatief 40 m silocilinder en 90% benutting</t>
        </is>
      </c>
      <c r="H41" s="13" t="n"/>
    </row>
    <row r="42" ht="48" customHeight="1">
      <c r="A42" s="9" t="inlineStr">
        <is>
          <t>R18</t>
        </is>
      </c>
      <c r="B42" s="13" t="inlineStr">
        <is>
          <t>Status totale graanopslag</t>
        </is>
      </c>
      <c r="C42" s="13" t="inlineStr">
        <is>
          <t>-</t>
        </is>
      </c>
      <c r="D42" s="88">
        <f>'Overige terminals'!D56</f>
        <v/>
      </c>
      <c r="E42" s="88">
        <f>'Overige terminals'!E56</f>
        <v/>
      </c>
      <c r="F42" s="88">
        <f>'Overige terminals'!F56</f>
        <v/>
      </c>
      <c r="G42" s="13" t="inlineStr">
        <is>
          <t>Bruikbare loodsgegevens nog invullen</t>
        </is>
      </c>
      <c r="H42" s="13" t="n"/>
    </row>
    <row r="43" ht="48" customHeight="1">
      <c r="A43" s="9" t="inlineStr">
        <is>
          <t>R19</t>
        </is>
      </c>
      <c r="B43" s="13" t="inlineStr">
        <is>
          <t>Actieve LNG-tanks</t>
        </is>
      </c>
      <c r="C43" s="13" t="inlineStr">
        <is>
          <t>aantal</t>
        </is>
      </c>
      <c r="D43" s="90">
        <f>'Overige terminals'!D74</f>
        <v/>
      </c>
      <c r="E43" s="90">
        <f>'Overige terminals'!E74</f>
        <v/>
      </c>
      <c r="F43" s="90">
        <f>'Overige terminals'!F74</f>
        <v/>
      </c>
      <c r="G43" s="13" t="inlineStr">
        <is>
          <t>Voorlopig; 4 cirkels tegenover 3 details</t>
        </is>
      </c>
      <c r="H43" s="13" t="n"/>
    </row>
    <row r="44" ht="48" customHeight="1">
      <c r="A44" s="9" t="inlineStr">
        <is>
          <t>R20</t>
        </is>
      </c>
      <c r="B44" s="13" t="inlineStr">
        <is>
          <t>LNG-opslag bij één tank uit</t>
        </is>
      </c>
      <c r="C44" s="13" t="inlineStr">
        <is>
          <t>-</t>
        </is>
      </c>
      <c r="D44" s="88">
        <f>'Overige terminals'!D77</f>
        <v/>
      </c>
      <c r="E44" s="88">
        <f>'Overige terminals'!E77</f>
        <v/>
      </c>
      <c r="F44" s="88">
        <f>'Overige terminals'!F77</f>
        <v/>
      </c>
      <c r="G44" s="13" t="inlineStr">
        <is>
          <t>Bij geselecteerd aantal en voorraadbeleid</t>
        </is>
      </c>
      <c r="H44" s="13" t="n"/>
    </row>
    <row r="45" ht="31" customHeight="1">
      <c r="A45" s="9" t="n"/>
      <c r="B45" s="13" t="n"/>
      <c r="C45" s="13" t="n"/>
      <c r="D45" s="85" t="n"/>
      <c r="E45" s="85" t="n"/>
      <c r="F45" s="85" t="n"/>
      <c r="G45" s="13" t="n"/>
      <c r="H45" s="13" t="n"/>
    </row>
    <row r="46" ht="31" customHeight="1">
      <c r="A46" s="9" t="n"/>
      <c r="B46" s="13" t="n"/>
      <c r="C46" s="13" t="n"/>
      <c r="D46" s="85" t="n"/>
      <c r="E46" s="85" t="n"/>
      <c r="F46" s="85" t="n"/>
      <c r="G46" s="13" t="n"/>
      <c r="H46" s="13" t="n"/>
    </row>
    <row r="47" ht="25" customHeight="1">
      <c r="A47" s="42" t="inlineStr">
        <is>
          <t>Rekenbasis en gebruik</t>
        </is>
      </c>
      <c r="B47" s="43" t="n"/>
      <c r="C47" s="43" t="n"/>
      <c r="D47" s="87" t="n"/>
      <c r="E47" s="87" t="n"/>
      <c r="F47" s="87" t="n"/>
      <c r="G47" s="43" t="n"/>
      <c r="H47" s="43" t="n"/>
    </row>
    <row r="48" ht="43" customHeight="1">
      <c r="A48" s="9" t="n"/>
      <c r="B48" s="13" t="inlineStr">
        <is>
          <t>Versie</t>
        </is>
      </c>
      <c r="C48" s="13" t="n"/>
      <c r="D48" s="85" t="inlineStr">
        <is>
          <t>3.0 DO</t>
        </is>
      </c>
      <c r="E48" s="85" t="n"/>
      <c r="F48" s="85" t="n"/>
      <c r="G48" s="13" t="n"/>
      <c r="H48" s="13" t="inlineStr">
        <is>
          <t>23 oktober 2026. Gemeten geometrie uit de aangeleverde Haven_DO.dwg.</t>
        </is>
      </c>
    </row>
    <row r="49" ht="43" customHeight="1">
      <c r="A49" s="9" t="n"/>
      <c r="B49" s="13" t="inlineStr">
        <is>
          <t>Invoercellen</t>
        </is>
      </c>
      <c r="C49" s="13" t="n"/>
      <c r="D49" s="85" t="inlineStr">
        <is>
          <t>Geel is invoer</t>
        </is>
      </c>
      <c r="E49" s="85" t="n"/>
      <c r="F49" s="85" t="n"/>
      <c r="G49" s="13" t="n"/>
      <c r="H49" s="13" t="inlineStr">
        <is>
          <t>LNG-tanks wijzigen in Invoer D3. Bruikbare slots en loodsgegevens staan onder de gemeten ontwerpwaarden.</t>
        </is>
      </c>
    </row>
    <row r="50" ht="43" customHeight="1">
      <c r="A50" s="9" t="n"/>
      <c r="B50" s="13" t="inlineStr">
        <is>
          <t>Gemeten waarden</t>
        </is>
      </c>
      <c r="C50" s="13" t="n"/>
      <c r="D50" s="85" t="inlineStr">
        <is>
          <t>Blauwe invoer</t>
        </is>
      </c>
      <c r="E50" s="85" t="n"/>
      <c r="F50" s="85" t="n"/>
      <c r="G50" s="13" t="n"/>
      <c r="H50" s="13" t="inlineStr">
        <is>
          <t>De nieuwe meetwaarden en objectcodes staan op Invoer. Aannamen en onduidelijke gegevens zijn apart benoemd.</t>
        </is>
      </c>
    </row>
    <row r="51" ht="43" customHeight="1">
      <c r="A51" s="9" t="n"/>
      <c r="B51" s="13" t="inlineStr">
        <is>
          <t>Baggervolume</t>
        </is>
      </c>
      <c r="C51" s="13" t="n"/>
      <c r="D51" s="88">
        <f>IF(COUNT('Grondwerk'!F17)=1,"VOORLOPIGE SCHATTING","NOG NIET BEPAALD")</f>
        <v/>
      </c>
      <c r="E51" s="88" t="n"/>
      <c r="F51" s="88" t="n"/>
      <c r="G51" s="13" t="n"/>
      <c r="H51" s="13" t="inlineStr">
        <is>
          <t>Bestaande bodem ontbreekt. Open en overlappende contouren moeten eerst definitief worden afgebakend.</t>
        </is>
      </c>
    </row>
    <row r="52" ht="43" customHeight="1">
      <c r="A52" s="9" t="n"/>
      <c r="B52" s="13" t="inlineStr">
        <is>
          <t>Hoofdrapport</t>
        </is>
      </c>
      <c r="C52" s="13" t="n"/>
      <c r="D52" s="85" t="inlineStr">
        <is>
          <t>Nog oude versie</t>
        </is>
      </c>
      <c r="E52" s="85" t="n"/>
      <c r="F52" s="85" t="n"/>
      <c r="G52" s="13" t="n"/>
      <c r="H52" s="13" t="inlineStr">
        <is>
          <t>Deze wijziging betreft Excel. Het hoofdrapport en de tekenbrief van 22 oktober moeten nog op de DO-versie worden aangepast.</t>
        </is>
      </c>
    </row>
    <row r="53" ht="31" customHeight="1">
      <c r="A53" s="9" t="n"/>
      <c r="B53" s="13" t="n"/>
      <c r="C53" s="13" t="n"/>
      <c r="D53" s="85" t="n"/>
      <c r="E53" s="85" t="n"/>
      <c r="F53" s="85" t="n"/>
      <c r="G53" s="13" t="n"/>
      <c r="H53" s="13" t="n"/>
    </row>
    <row r="54" ht="31" customHeight="1">
      <c r="A54" s="9" t="n"/>
      <c r="B54" s="13" t="n"/>
      <c r="C54" s="13" t="n"/>
      <c r="D54" s="85" t="n"/>
      <c r="E54" s="85" t="n"/>
      <c r="F54" s="85" t="n"/>
      <c r="G54" s="13" t="n"/>
      <c r="H54" s="13" t="n"/>
    </row>
    <row r="55" ht="31" customHeight="1">
      <c r="A55" s="9" t="n"/>
      <c r="B55" s="13" t="n"/>
      <c r="C55" s="13" t="n"/>
      <c r="D55" s="85" t="n"/>
      <c r="E55" s="85" t="n"/>
      <c r="F55" s="85" t="n"/>
      <c r="G55" s="13" t="n"/>
      <c r="H55" s="13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</row>
  </sheetData>
  <conditionalFormatting sqref="D17:F17">
    <cfRule type="cellIs" priority="1" operator="lessThan" dxfId="0">
      <formula>0</formula>
    </cfRule>
  </conditionalFormatting>
  <conditionalFormatting sqref="D38:F38">
    <cfRule type="cellIs" priority="2" operator="lessThan" dxfId="3">
      <formula>0</formula>
    </cfRule>
  </conditionalFormatting>
  <conditionalFormatting sqref="D40:F40">
    <cfRule type="cellIs" priority="3" operator="lessThan" dxfId="3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638AA6"/>
    <outlinePr summaryBelow="1" summaryRight="1"/>
    <pageSetUpPr/>
  </sheetPr>
  <dimension ref="A1:H148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8" customWidth="1" min="1" max="1"/>
    <col width="39" customWidth="1" min="2" max="2"/>
    <col width="18" customWidth="1" min="3" max="3"/>
    <col width="17" customWidth="1" min="4" max="4"/>
    <col width="17" customWidth="1" min="5" max="5"/>
    <col width="17" customWidth="1" min="6" max="6"/>
    <col width="24" customWidth="1" min="7" max="7"/>
    <col width="68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Invoer</t>
        </is>
      </c>
      <c r="B2" s="2" t="n"/>
      <c r="C2" s="2" t="n"/>
      <c r="D2" s="2" t="n"/>
      <c r="E2" s="2" t="n"/>
      <c r="F2" s="2" t="n"/>
      <c r="G2" s="2" t="n"/>
      <c r="H2" s="2" t="n"/>
    </row>
    <row r="3" ht="43" customHeight="1">
      <c r="A3" s="3" t="n"/>
      <c r="B3" s="3" t="inlineStr">
        <is>
          <t>Actieve LNG-tanks</t>
        </is>
      </c>
      <c r="C3" s="3" t="n"/>
      <c r="D3" s="91" t="n">
        <v>3</v>
      </c>
      <c r="E3" s="3" t="n"/>
      <c r="F3" s="3" t="n"/>
      <c r="G3" s="3" t="n"/>
      <c r="H3" s="38" t="inlineStr">
        <is>
          <t>Tekening DO 8.3: 3 tanks actief, 4e tank gestippeld als reserve (N-1-keuze). Zet 4 om de N-1-variant door te rekenen.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27" customHeight="1">
      <c r="A5" s="8" t="inlineStr">
        <is>
          <t>Ref</t>
        </is>
      </c>
      <c r="B5" s="8" t="inlineStr">
        <is>
          <t>Parameter</t>
        </is>
      </c>
      <c r="C5" s="8" t="inlineStr">
        <is>
          <t>Eenheid</t>
        </is>
      </c>
      <c r="D5" s="8" t="inlineStr">
        <is>
          <t>2025</t>
        </is>
      </c>
      <c r="E5" s="8" t="inlineStr">
        <is>
          <t>2035</t>
        </is>
      </c>
      <c r="F5" s="8" t="inlineStr">
        <is>
          <t>2045</t>
        </is>
      </c>
      <c r="G5" s="8" t="inlineStr">
        <is>
          <t>Status</t>
        </is>
      </c>
      <c r="H5" s="8" t="inlineStr">
        <is>
          <t>Bron of motivering</t>
        </is>
      </c>
    </row>
    <row r="6" ht="27" customHeight="1">
      <c r="A6" s="14" t="inlineStr">
        <is>
          <t>ct</t>
        </is>
      </c>
      <c r="B6" s="13" t="inlineStr">
        <is>
          <t>Containeroverslag</t>
        </is>
      </c>
      <c r="C6" s="13" t="inlineStr">
        <is>
          <t>TEU/jaar</t>
        </is>
      </c>
      <c r="D6" s="92" t="n">
        <v>1200000</v>
      </c>
      <c r="E6" s="92" t="n">
        <v>2000000</v>
      </c>
      <c r="F6" s="92" t="n">
        <v>4000000</v>
      </c>
      <c r="G6" s="13" t="inlineStr">
        <is>
          <t>Case</t>
        </is>
      </c>
      <c r="H6" s="13" t="inlineStr">
        <is>
          <t>[1] PPD-A p. 2</t>
        </is>
      </c>
    </row>
    <row r="7" ht="27" customHeight="1">
      <c r="A7" s="14" t="inlineStr">
        <is>
          <t>bulk</t>
        </is>
      </c>
      <c r="B7" s="13" t="inlineStr">
        <is>
          <t>Graanoverslag</t>
        </is>
      </c>
      <c r="C7" s="13" t="inlineStr">
        <is>
          <t>ton/jaar</t>
        </is>
      </c>
      <c r="D7" s="92" t="n">
        <v>500000</v>
      </c>
      <c r="E7" s="92" t="n">
        <v>1000000</v>
      </c>
      <c r="F7" s="92" t="n">
        <v>1500000</v>
      </c>
      <c r="G7" s="13" t="inlineStr">
        <is>
          <t>Case</t>
        </is>
      </c>
      <c r="H7" s="13" t="inlineStr">
        <is>
          <t>[1] PPD-A p. 2</t>
        </is>
      </c>
    </row>
    <row r="8" ht="27" customHeight="1">
      <c r="A8" s="14" t="inlineStr">
        <is>
          <t>roro</t>
        </is>
      </c>
      <c r="B8" s="13" t="inlineStr">
        <is>
          <t>Voertuigen</t>
        </is>
      </c>
      <c r="C8" s="13" t="inlineStr">
        <is>
          <t>auto/jaar</t>
        </is>
      </c>
      <c r="D8" s="92" t="n">
        <v>45000</v>
      </c>
      <c r="E8" s="92" t="n">
        <v>130000</v>
      </c>
      <c r="F8" s="92" t="n">
        <v>210000</v>
      </c>
      <c r="G8" s="13" t="inlineStr">
        <is>
          <t>Case</t>
        </is>
      </c>
      <c r="H8" s="13" t="inlineStr">
        <is>
          <t>[1] PPD-A p. 2</t>
        </is>
      </c>
    </row>
    <row r="9" ht="27" customHeight="1">
      <c r="A9" s="14" t="inlineStr">
        <is>
          <t>lng</t>
        </is>
      </c>
      <c r="B9" s="13" t="inlineStr">
        <is>
          <t>LNG-overslag</t>
        </is>
      </c>
      <c r="C9" s="13" t="inlineStr">
        <is>
          <t>m3 LNG/jaar</t>
        </is>
      </c>
      <c r="D9" s="92" t="n">
        <v>4000000</v>
      </c>
      <c r="E9" s="92" t="n">
        <v>6000000</v>
      </c>
      <c r="F9" s="92" t="n">
        <v>8000000</v>
      </c>
      <c r="G9" s="13" t="inlineStr">
        <is>
          <t>Case</t>
        </is>
      </c>
      <c r="H9" s="13" t="inlineStr">
        <is>
          <t>[1] PPD-A p. 2</t>
        </is>
      </c>
    </row>
    <row r="10" ht="27" customHeight="1">
      <c r="A10" s="14" t="inlineStr">
        <is>
          <t>days</t>
        </is>
      </c>
      <c r="B10" s="13" t="inlineStr">
        <is>
          <t>Kalenderdagen</t>
        </is>
      </c>
      <c r="C10" s="13" t="inlineStr">
        <is>
          <t>dagen/jaar</t>
        </is>
      </c>
      <c r="D10" s="92" t="n">
        <v>365</v>
      </c>
      <c r="E10" s="85">
        <f>$D10</f>
        <v/>
      </c>
      <c r="F10" s="85">
        <f>$D10</f>
        <v/>
      </c>
      <c r="G10" s="13" t="inlineStr">
        <is>
          <t>Definitie</t>
        </is>
      </c>
      <c r="H10" s="13" t="inlineStr">
        <is>
          <t>Geen schrikkeljaarcorrectie op conceptniveau</t>
        </is>
      </c>
    </row>
    <row r="11" ht="27" customHeight="1">
      <c r="A11" s="14" t="inlineStr">
        <is>
          <t>avail</t>
        </is>
      </c>
      <c r="B11" s="13" t="inlineStr">
        <is>
          <t>Beschikbare ligplaatstijd</t>
        </is>
      </c>
      <c r="C11" s="13" t="inlineStr">
        <is>
          <t>deel</t>
        </is>
      </c>
      <c r="D11" s="93" t="n">
        <v>0.95</v>
      </c>
      <c r="E11" s="84">
        <f>$D11</f>
        <v/>
      </c>
      <c r="F11" s="84">
        <f>$D11</f>
        <v/>
      </c>
      <c r="G11" s="13" t="inlineStr">
        <is>
          <t>Rekenaanname</t>
        </is>
      </c>
      <c r="H11" s="13" t="inlineStr">
        <is>
          <t>5% uitval door weer en onderhoud; gevoeligheid toetsen</t>
        </is>
      </c>
    </row>
    <row r="12" ht="27" customHeight="1">
      <c r="A12" s="14" t="inlineStr">
        <is>
          <t>target</t>
        </is>
      </c>
      <c r="B12" s="13" t="inlineStr">
        <is>
          <t>Doelbezetting containerkade</t>
        </is>
      </c>
      <c r="C12" s="13" t="inlineStr">
        <is>
          <t>deel</t>
        </is>
      </c>
      <c r="D12" s="93" t="n">
        <v>0.65</v>
      </c>
      <c r="E12" s="84">
        <f>$D12</f>
        <v/>
      </c>
      <c r="F12" s="84">
        <f>$D12</f>
        <v/>
      </c>
      <c r="G12" s="13" t="inlineStr">
        <is>
          <t>Projectcriterium</t>
        </is>
      </c>
      <c r="H12" s="13" t="inlineStr">
        <is>
          <t>Planningsgrens; wachttijdmodel nog nodig</t>
        </is>
      </c>
    </row>
    <row r="13" ht="27" customHeight="1">
      <c r="A13" s="14" t="inlineStr">
        <is>
          <t>ratio</t>
        </is>
      </c>
      <c r="B13" s="13" t="inlineStr">
        <is>
          <t>Aantal 20ft / aantal 40ft</t>
        </is>
      </c>
      <c r="C13" s="13" t="inlineStr">
        <is>
          <t>-</t>
        </is>
      </c>
      <c r="D13" s="92" t="n">
        <v>1.2</v>
      </c>
      <c r="E13" s="85">
        <f>$D13</f>
        <v/>
      </c>
      <c r="F13" s="85">
        <f>$D13</f>
        <v/>
      </c>
      <c r="G13" s="13" t="inlineStr">
        <is>
          <t>Case</t>
        </is>
      </c>
      <c r="H13" s="13" t="inlineStr">
        <is>
          <t>[1] Verhouding aantallen, niet verhouding TEU</t>
        </is>
      </c>
    </row>
    <row r="14" ht="27" customHeight="1">
      <c r="A14" s="14" t="inlineStr">
        <is>
          <t>callC</t>
        </is>
      </c>
      <c r="B14" s="13" t="inlineStr">
        <is>
          <t>Overslag per containercall</t>
        </is>
      </c>
      <c r="C14" s="13" t="inlineStr">
        <is>
          <t>TEU/call</t>
        </is>
      </c>
      <c r="D14" s="92" t="n">
        <v>4500</v>
      </c>
      <c r="E14" s="85">
        <f>$D14</f>
        <v/>
      </c>
      <c r="F14" s="85">
        <f>$D14</f>
        <v/>
      </c>
      <c r="G14" s="13" t="inlineStr">
        <is>
          <t>Rekenaanname</t>
        </is>
      </c>
      <c r="H14" s="13" t="inlineStr">
        <is>
          <t>Zelfde callgrootte alle fasen; geen groei in scheepsafmetingen</t>
        </is>
      </c>
    </row>
    <row r="15" ht="27" customHeight="1">
      <c r="A15" s="14" t="inlineStr">
        <is>
          <t>cranes</t>
        </is>
      </c>
      <c r="B15" s="13" t="inlineStr">
        <is>
          <t>Gelijktijdige STS-kranen per schip</t>
        </is>
      </c>
      <c r="C15" s="13" t="inlineStr">
        <is>
          <t>aantal</t>
        </is>
      </c>
      <c r="D15" s="92" t="n">
        <v>3</v>
      </c>
      <c r="E15" s="92" t="n">
        <v>4</v>
      </c>
      <c r="F15" s="92" t="n">
        <v>5</v>
      </c>
      <c r="G15" s="13" t="inlineStr">
        <is>
          <t>Ontwerpvoorstel</t>
        </is>
      </c>
      <c r="H15" s="13" t="inlineStr">
        <is>
          <t>3/4/5 per schip blijft rekenaanname. Eindfase heeft 20 getekende STS-symbolen.</t>
        </is>
      </c>
    </row>
    <row r="16" ht="27" customHeight="1">
      <c r="A16" s="14" t="inlineStr">
        <is>
          <t>qcrane</t>
        </is>
      </c>
      <c r="B16" s="13" t="inlineStr">
        <is>
          <t>Netto STS-productiviteit</t>
        </is>
      </c>
      <c r="C16" s="13" t="inlineStr">
        <is>
          <t>box/uur/kraan</t>
        </is>
      </c>
      <c r="D16" s="92" t="n">
        <v>30</v>
      </c>
      <c r="E16" s="85">
        <f>$D16</f>
        <v/>
      </c>
      <c r="F16" s="85">
        <f>$D16</f>
        <v/>
      </c>
      <c r="G16" s="13" t="inlineStr">
        <is>
          <t>Rekenaanname</t>
        </is>
      </c>
      <c r="H16" s="13" t="inlineStr">
        <is>
          <t>Te toetsen met operator; 20 geeft meer benodigde ligplaatsen</t>
        </is>
      </c>
    </row>
    <row r="17" ht="27" customHeight="1">
      <c r="A17" s="14" t="inlineStr">
        <is>
          <t>moorC</t>
        </is>
      </c>
      <c r="B17" s="13" t="inlineStr">
        <is>
          <t>Tijd buiten containeroverslag</t>
        </is>
      </c>
      <c r="C17" s="13" t="inlineStr">
        <is>
          <t>uur/call</t>
        </is>
      </c>
      <c r="D17" s="92" t="n">
        <v>3</v>
      </c>
      <c r="E17" s="85">
        <f>$D17</f>
        <v/>
      </c>
      <c r="F17" s="85">
        <f>$D17</f>
        <v/>
      </c>
      <c r="G17" s="13" t="inlineStr">
        <is>
          <t>Rekenaanname</t>
        </is>
      </c>
      <c r="H17" s="13" t="inlineStr">
        <is>
          <t>Aan- en afmeren, checks en wisselen samen</t>
        </is>
      </c>
    </row>
    <row r="18" ht="27" customHeight="1">
      <c r="A18" s="14" t="inlineStr">
        <is>
          <t>berths</t>
        </is>
      </c>
      <c r="B18" s="13" t="inlineStr">
        <is>
          <t>Geplande containerligplaatsen</t>
        </is>
      </c>
      <c r="C18" s="13" t="inlineStr">
        <is>
          <t>aantal</t>
        </is>
      </c>
      <c r="D18" s="92" t="n">
        <v>2</v>
      </c>
      <c r="E18" s="92" t="n">
        <v>3</v>
      </c>
      <c r="F18" s="92" t="n">
        <v>4</v>
      </c>
      <c r="G18" s="13" t="inlineStr">
        <is>
          <t>Ontwerpvoorstel</t>
        </is>
      </c>
      <c r="H18" s="13" t="inlineStr">
        <is>
          <t>2/3/4 uit faseaantekeningen; vier kades in eindfase getekend.</t>
        </is>
      </c>
    </row>
    <row r="19" ht="27" customHeight="1">
      <c r="A19" s="14" t="inlineStr">
        <is>
          <t>module</t>
        </is>
      </c>
      <c r="B19" s="13" t="inlineStr">
        <is>
          <t>Containerkade per ligplaats</t>
        </is>
      </c>
      <c r="C19" s="13" t="inlineStr">
        <is>
          <t>m</t>
        </is>
      </c>
      <c r="D19" s="94">
        <f>'Invoer'!D107</f>
        <v/>
      </c>
      <c r="E19" s="94">
        <f>'Invoer'!E107</f>
        <v/>
      </c>
      <c r="F19" s="94">
        <f>'Invoer'!F107</f>
        <v/>
      </c>
      <c r="G19" s="13" t="inlineStr">
        <is>
          <t>Gemeten DWG</t>
        </is>
      </c>
      <c r="H19" s="13" t="inlineStr">
        <is>
          <t>Gemeten invoer hieronder; gekoppeld aan de tekening van 23 oktober 2026.</t>
        </is>
      </c>
    </row>
    <row r="20" ht="27" customHeight="1">
      <c r="A20" s="14" t="inlineStr">
        <is>
          <t>yard</t>
        </is>
      </c>
      <c r="B20" s="13" t="inlineStr">
        <is>
          <t>Te reserveren containerterrein</t>
        </is>
      </c>
      <c r="C20" s="13" t="inlineStr">
        <is>
          <t>ha</t>
        </is>
      </c>
      <c r="D20" s="94">
        <f>'Invoer'!D108</f>
        <v/>
      </c>
      <c r="E20" s="94">
        <f>'Invoer'!E108</f>
        <v/>
      </c>
      <c r="F20" s="94">
        <f>'Invoer'!F108</f>
        <v/>
      </c>
      <c r="G20" s="13" t="inlineStr">
        <is>
          <t>Gemeten DWG</t>
        </is>
      </c>
      <c r="H20" s="13" t="inlineStr">
        <is>
          <t>Gemeten invoer hieronder; gekoppeld aan de tekening van 23 oktober 2026.</t>
        </is>
      </c>
    </row>
    <row r="21" ht="27" customHeight="1">
      <c r="A21" s="14" t="inlineStr">
        <is>
          <t>imp</t>
        </is>
      </c>
      <c r="B21" s="13" t="inlineStr">
        <is>
          <t>Aandeel import</t>
        </is>
      </c>
      <c r="C21" s="13" t="inlineStr">
        <is>
          <t>deel</t>
        </is>
      </c>
      <c r="D21" s="93" t="n">
        <v>0.5</v>
      </c>
      <c r="E21" s="84">
        <f>$D21</f>
        <v/>
      </c>
      <c r="F21" s="84">
        <f>$D21</f>
        <v/>
      </c>
      <c r="G21" s="13" t="inlineStr">
        <is>
          <t>Case</t>
        </is>
      </c>
      <c r="H21" s="13" t="inlineStr">
        <is>
          <t>[1] PPD-A p. 2</t>
        </is>
      </c>
    </row>
    <row r="22" ht="27" customHeight="1">
      <c r="A22" s="14" t="inlineStr">
        <is>
          <t>exp</t>
        </is>
      </c>
      <c r="B22" s="13" t="inlineStr">
        <is>
          <t>Aandeel volle export</t>
        </is>
      </c>
      <c r="C22" s="13" t="inlineStr">
        <is>
          <t>deel</t>
        </is>
      </c>
      <c r="D22" s="93" t="n">
        <v>0.3</v>
      </c>
      <c r="E22" s="84">
        <f>$D22</f>
        <v/>
      </c>
      <c r="F22" s="84">
        <f>$D22</f>
        <v/>
      </c>
      <c r="G22" s="13" t="inlineStr">
        <is>
          <t>Case</t>
        </is>
      </c>
      <c r="H22" s="13" t="inlineStr">
        <is>
          <t>[1] PPD-A p. 2</t>
        </is>
      </c>
    </row>
    <row r="23" ht="27" customHeight="1">
      <c r="A23" s="14" t="inlineStr">
        <is>
          <t>empty</t>
        </is>
      </c>
      <c r="B23" s="13" t="inlineStr">
        <is>
          <t>Aandeel lege export</t>
        </is>
      </c>
      <c r="C23" s="13" t="inlineStr">
        <is>
          <t>deel</t>
        </is>
      </c>
      <c r="D23" s="93" t="n">
        <v>0.2</v>
      </c>
      <c r="E23" s="84">
        <f>$D23</f>
        <v/>
      </c>
      <c r="F23" s="84">
        <f>$D23</f>
        <v/>
      </c>
      <c r="G23" s="13" t="inlineStr">
        <is>
          <t>Case</t>
        </is>
      </c>
      <c r="H23" s="13" t="inlineStr">
        <is>
          <t>[1] PPD-A p. 2</t>
        </is>
      </c>
    </row>
    <row r="24" ht="27" customHeight="1">
      <c r="A24" s="14" t="inlineStr">
        <is>
          <t>dImp</t>
        </is>
      </c>
      <c r="B24" s="13" t="inlineStr">
        <is>
          <t>Verblijftijd import</t>
        </is>
      </c>
      <c r="C24" s="13" t="inlineStr">
        <is>
          <t>dagen</t>
        </is>
      </c>
      <c r="D24" s="92" t="n">
        <v>6</v>
      </c>
      <c r="E24" s="85">
        <f>$D24</f>
        <v/>
      </c>
      <c r="F24" s="85">
        <f>$D24</f>
        <v/>
      </c>
      <c r="G24" s="13" t="inlineStr">
        <is>
          <t>Case</t>
        </is>
      </c>
      <c r="H24" s="13" t="inlineStr">
        <is>
          <t>[1] PPD-A p. 2</t>
        </is>
      </c>
    </row>
    <row r="25" ht="27" customHeight="1">
      <c r="A25" s="14" t="inlineStr">
        <is>
          <t>dExp</t>
        </is>
      </c>
      <c r="B25" s="13" t="inlineStr">
        <is>
          <t>Verblijftijd export</t>
        </is>
      </c>
      <c r="C25" s="13" t="inlineStr">
        <is>
          <t>dagen</t>
        </is>
      </c>
      <c r="D25" s="92" t="n">
        <v>4</v>
      </c>
      <c r="E25" s="85">
        <f>$D25</f>
        <v/>
      </c>
      <c r="F25" s="85">
        <f>$D25</f>
        <v/>
      </c>
      <c r="G25" s="13" t="inlineStr">
        <is>
          <t>Case</t>
        </is>
      </c>
      <c r="H25" s="13" t="inlineStr">
        <is>
          <t>[1] PPD-A p. 2</t>
        </is>
      </c>
    </row>
    <row r="26" ht="27" customHeight="1">
      <c r="A26" s="14" t="inlineStr">
        <is>
          <t>dEmpty</t>
        </is>
      </c>
      <c r="B26" s="13" t="inlineStr">
        <is>
          <t>Verblijftijd leeg</t>
        </is>
      </c>
      <c r="C26" s="13" t="inlineStr">
        <is>
          <t>dagen</t>
        </is>
      </c>
      <c r="D26" s="92" t="n">
        <v>10</v>
      </c>
      <c r="E26" s="85">
        <f>$D26</f>
        <v/>
      </c>
      <c r="F26" s="85">
        <f>$D26</f>
        <v/>
      </c>
      <c r="G26" s="13" t="inlineStr">
        <is>
          <t>Case</t>
        </is>
      </c>
      <c r="H26" s="13" t="inlineStr">
        <is>
          <t>[1] PPD-A p. 2</t>
        </is>
      </c>
    </row>
    <row r="27" ht="27" customHeight="1">
      <c r="A27" s="14" t="inlineStr">
        <is>
          <t>peak</t>
        </is>
      </c>
      <c r="B27" s="13" t="inlineStr">
        <is>
          <t>Piekfactor voorraad</t>
        </is>
      </c>
      <c r="C27" s="13" t="inlineStr">
        <is>
          <t>-</t>
        </is>
      </c>
      <c r="D27" s="92" t="n">
        <v>1.25</v>
      </c>
      <c r="E27" s="85">
        <f>$D27</f>
        <v/>
      </c>
      <c r="F27" s="85">
        <f>$D27</f>
        <v/>
      </c>
      <c r="G27" s="13" t="inlineStr">
        <is>
          <t>Rekenaanname</t>
        </is>
      </c>
      <c r="H27" s="13" t="inlineStr">
        <is>
          <t>Voor seizoens- en aankomstvariatie</t>
        </is>
      </c>
    </row>
    <row r="28" ht="27" customHeight="1">
      <c r="A28" s="14" t="inlineStr">
        <is>
          <t>stack</t>
        </is>
      </c>
      <c r="B28" s="13" t="inlineStr">
        <is>
          <t>Effectieve gemiddelde stapeling</t>
        </is>
      </c>
      <c r="C28" s="13" t="inlineStr">
        <is>
          <t>TEU/slot</t>
        </is>
      </c>
      <c r="D28" s="92" t="n">
        <v>3</v>
      </c>
      <c r="E28" s="85">
        <f>$D28</f>
        <v/>
      </c>
      <c r="F28" s="85">
        <f>$D28</f>
        <v/>
      </c>
      <c r="G28" s="13" t="inlineStr">
        <is>
          <t>Rekenaanname</t>
        </is>
      </c>
      <c r="H28" s="13" t="inlineStr">
        <is>
          <t>Inclusief lagere stapeling voor bereikbaarheid</t>
        </is>
      </c>
    </row>
    <row r="29" ht="27" customHeight="1">
      <c r="A29" s="14" t="inlineStr">
        <is>
          <t>util</t>
        </is>
      </c>
      <c r="B29" s="13" t="inlineStr">
        <is>
          <t>Benutting grondslots</t>
        </is>
      </c>
      <c r="C29" s="13" t="inlineStr">
        <is>
          <t>deel</t>
        </is>
      </c>
      <c r="D29" s="93" t="n">
        <v>0.7</v>
      </c>
      <c r="E29" s="84">
        <f>$D29</f>
        <v/>
      </c>
      <c r="F29" s="84">
        <f>$D29</f>
        <v/>
      </c>
      <c r="G29" s="13" t="inlineStr">
        <is>
          <t>Rekenaanname</t>
        </is>
      </c>
      <c r="H29" s="13" t="inlineStr">
        <is>
          <t>Operationele reserve</t>
        </is>
      </c>
    </row>
    <row r="30" ht="27" customHeight="1">
      <c r="A30" s="14" t="inlineStr">
        <is>
          <t>slot</t>
        </is>
      </c>
      <c r="B30" s="13" t="inlineStr">
        <is>
          <t>Netto oppervlakte per TEU-slot</t>
        </is>
      </c>
      <c r="C30" s="13" t="inlineStr">
        <is>
          <t>m2</t>
        </is>
      </c>
      <c r="D30" s="92" t="n">
        <v>28</v>
      </c>
      <c r="E30" s="85">
        <f>$D30</f>
        <v/>
      </c>
      <c r="F30" s="85">
        <f>$D30</f>
        <v/>
      </c>
      <c r="G30" s="13" t="inlineStr">
        <is>
          <t>Rekenaanname</t>
        </is>
      </c>
      <c r="H30" s="13" t="inlineStr">
        <is>
          <t>TEU-equivalent grondslot; niet box-slot</t>
        </is>
      </c>
    </row>
    <row r="31" ht="27" customHeight="1">
      <c r="A31" s="14" t="inlineStr">
        <is>
          <t>support</t>
        </is>
      </c>
      <c r="B31" s="13" t="inlineStr">
        <is>
          <t>Terreinfactor containers / RoRo</t>
        </is>
      </c>
      <c r="C31" s="13" t="inlineStr">
        <is>
          <t>-</t>
        </is>
      </c>
      <c r="D31" s="92" t="n">
        <v>1.2</v>
      </c>
      <c r="E31" s="85">
        <f>$D31</f>
        <v/>
      </c>
      <c r="F31" s="85">
        <f>$D31</f>
        <v/>
      </c>
      <c r="G31" s="13" t="inlineStr">
        <is>
          <t>Rekenaanname</t>
        </is>
      </c>
      <c r="H31" s="13" t="inlineStr">
        <is>
          <t>Aanvulling voor apron, wegen en gebouwen</t>
        </is>
      </c>
    </row>
    <row r="32" ht="27" customHeight="1">
      <c r="A32" s="14" t="inlineStr">
        <is>
          <t>callB</t>
        </is>
      </c>
      <c r="B32" s="13" t="inlineStr">
        <is>
          <t>Graan per scheepscall</t>
        </is>
      </c>
      <c r="C32" s="13" t="inlineStr">
        <is>
          <t>ton/call</t>
        </is>
      </c>
      <c r="D32" s="92" t="n">
        <v>65000</v>
      </c>
      <c r="E32" s="85">
        <f>$D32</f>
        <v/>
      </c>
      <c r="F32" s="85">
        <f>$D32</f>
        <v/>
      </c>
      <c r="G32" s="13" t="inlineStr">
        <is>
          <t>Rekenaanname</t>
        </is>
      </c>
      <c r="H32" s="13" t="inlineStr">
        <is>
          <t>Binnen 81.290 DWT; DWT is niet volledig laadvermogen</t>
        </is>
      </c>
    </row>
    <row r="33" ht="27" customHeight="1">
      <c r="A33" s="14" t="inlineStr">
        <is>
          <t>qB</t>
        </is>
      </c>
      <c r="B33" s="13" t="inlineStr">
        <is>
          <t>Netto graanproductiviteit</t>
        </is>
      </c>
      <c r="C33" s="13" t="inlineStr">
        <is>
          <t>ton/uur</t>
        </is>
      </c>
      <c r="D33" s="92" t="n">
        <v>1000</v>
      </c>
      <c r="E33" s="85">
        <f>$D33</f>
        <v/>
      </c>
      <c r="F33" s="85">
        <f>$D33</f>
        <v/>
      </c>
      <c r="G33" s="13" t="inlineStr">
        <is>
          <t>Rekenaanname</t>
        </is>
      </c>
      <c r="H33" s="13" t="inlineStr">
        <is>
          <t>Scheepsbelader incl. operationele stops</t>
        </is>
      </c>
    </row>
    <row r="34" ht="27" customHeight="1">
      <c r="A34" s="14" t="inlineStr">
        <is>
          <t>moorB</t>
        </is>
      </c>
      <c r="B34" s="13" t="inlineStr">
        <is>
          <t>Overige tijd graanschip</t>
        </is>
      </c>
      <c r="C34" s="13" t="inlineStr">
        <is>
          <t>uur/call</t>
        </is>
      </c>
      <c r="D34" s="92" t="n">
        <v>6</v>
      </c>
      <c r="E34" s="85">
        <f>$D34</f>
        <v/>
      </c>
      <c r="F34" s="85">
        <f>$D34</f>
        <v/>
      </c>
      <c r="G34" s="13" t="inlineStr">
        <is>
          <t>Rekenaanname</t>
        </is>
      </c>
      <c r="H34" s="13" t="inlineStr">
        <is>
          <t>Aan/afmeren, controles en wissel</t>
        </is>
      </c>
    </row>
    <row r="35" ht="27" customHeight="1">
      <c r="A35" s="14" t="inlineStr">
        <is>
          <t>dB</t>
        </is>
      </c>
      <c r="B35" s="13" t="inlineStr">
        <is>
          <t>Graanvoorraad</t>
        </is>
      </c>
      <c r="C35" s="13" t="inlineStr">
        <is>
          <t>dagen</t>
        </is>
      </c>
      <c r="D35" s="92" t="n">
        <v>30</v>
      </c>
      <c r="E35" s="85">
        <f>$D35</f>
        <v/>
      </c>
      <c r="F35" s="85">
        <f>$D35</f>
        <v/>
      </c>
      <c r="G35" s="13" t="inlineStr">
        <is>
          <t>Rekenaanname</t>
        </is>
      </c>
      <c r="H35" s="13" t="inlineStr">
        <is>
          <t>Op basis van kalenderdoorzet</t>
        </is>
      </c>
    </row>
    <row r="36" ht="27" customHeight="1">
      <c r="A36" s="14" t="inlineStr">
        <is>
          <t>rhoB</t>
        </is>
      </c>
      <c r="B36" s="13" t="inlineStr">
        <is>
          <t>Graandichtheid</t>
        </is>
      </c>
      <c r="C36" s="13" t="inlineStr">
        <is>
          <t>ton/m3</t>
        </is>
      </c>
      <c r="D36" s="92" t="n">
        <v>0.75</v>
      </c>
      <c r="E36" s="85">
        <f>$D36</f>
        <v/>
      </c>
      <c r="F36" s="85">
        <f>$D36</f>
        <v/>
      </c>
      <c r="G36" s="13" t="inlineStr">
        <is>
          <t>Rekenaanname</t>
        </is>
      </c>
      <c r="H36" s="13" t="inlineStr">
        <is>
          <t>Productspecificatie nog bevestigen</t>
        </is>
      </c>
    </row>
    <row r="37" ht="27" customHeight="1">
      <c r="A37" s="14" t="inlineStr">
        <is>
          <t>hB</t>
        </is>
      </c>
      <c r="B37" s="13" t="inlineStr">
        <is>
          <t>Effectieve opslaghoogte graan</t>
        </is>
      </c>
      <c r="C37" s="13" t="inlineStr">
        <is>
          <t>m</t>
        </is>
      </c>
      <c r="D37" s="92" t="n">
        <v>8</v>
      </c>
      <c r="E37" s="85">
        <f>$D37</f>
        <v/>
      </c>
      <c r="F37" s="85">
        <f>$D37</f>
        <v/>
      </c>
      <c r="G37" s="13" t="inlineStr">
        <is>
          <t>Rekenaanname</t>
        </is>
      </c>
      <c r="H37" s="13" t="inlineStr">
        <is>
          <t>8 m blijft alleen referentie voor oud terreinmodel; geen vastgestelde hoogte van de nieuwe loods.</t>
        </is>
      </c>
    </row>
    <row r="38" ht="27" customHeight="1">
      <c r="A38" s="14" t="inlineStr">
        <is>
          <t>facB</t>
        </is>
      </c>
      <c r="B38" s="13" t="inlineStr">
        <is>
          <t>Factor graanopslagterrein</t>
        </is>
      </c>
      <c r="C38" s="13" t="inlineStr">
        <is>
          <t>-</t>
        </is>
      </c>
      <c r="D38" s="92" t="n">
        <v>2</v>
      </c>
      <c r="E38" s="85">
        <f>$D38</f>
        <v/>
      </c>
      <c r="F38" s="85">
        <f>$D38</f>
        <v/>
      </c>
      <c r="G38" s="13" t="inlineStr">
        <is>
          <t>Rekenaanname</t>
        </is>
      </c>
      <c r="H38" s="13" t="inlineStr">
        <is>
          <t>Opslag plus interne bediening, exclusief grote reserves</t>
        </is>
      </c>
    </row>
    <row r="39" ht="27" customHeight="1">
      <c r="A39" s="14" t="inlineStr">
        <is>
          <t>areaB</t>
        </is>
      </c>
      <c r="B39" s="13" t="inlineStr">
        <is>
          <t>Graanterrein reservering</t>
        </is>
      </c>
      <c r="C39" s="13" t="inlineStr">
        <is>
          <t>ha</t>
        </is>
      </c>
      <c r="D39" s="94">
        <f>'Invoer'!D109</f>
        <v/>
      </c>
      <c r="E39" s="94">
        <f>'Invoer'!E109</f>
        <v/>
      </c>
      <c r="F39" s="94">
        <f>'Invoer'!F109</f>
        <v/>
      </c>
      <c r="G39" s="13" t="inlineStr">
        <is>
          <t>Gemeten DWG</t>
        </is>
      </c>
      <c r="H39" s="13" t="inlineStr">
        <is>
          <t>Gemeten invoer hieronder; gekoppeld aan de tekening van 23 oktober 2026.</t>
        </is>
      </c>
    </row>
    <row r="40" ht="27" customHeight="1">
      <c r="A40" s="14" t="inlineStr">
        <is>
          <t>callR</t>
        </is>
      </c>
      <c r="B40" s="13" t="inlineStr">
        <is>
          <t>Voertuigen per scheepscall</t>
        </is>
      </c>
      <c r="C40" s="13" t="inlineStr">
        <is>
          <t>auto/call</t>
        </is>
      </c>
      <c r="D40" s="92" t="n">
        <v>6500</v>
      </c>
      <c r="E40" s="85">
        <f>$D40</f>
        <v/>
      </c>
      <c r="F40" s="85">
        <f>$D40</f>
        <v/>
      </c>
      <c r="G40" s="13" t="inlineStr">
        <is>
          <t>Rekenaanname</t>
        </is>
      </c>
      <c r="H40" s="13" t="inlineStr">
        <is>
          <t>Bovengrens gemiddelde referentie; gevoelig voor part-calls</t>
        </is>
      </c>
    </row>
    <row r="41" ht="27" customHeight="1">
      <c r="A41" s="14" t="inlineStr">
        <is>
          <t>qR</t>
        </is>
      </c>
      <c r="B41" s="13" t="inlineStr">
        <is>
          <t>Netto RoRo-productiviteit</t>
        </is>
      </c>
      <c r="C41" s="13" t="inlineStr">
        <is>
          <t>auto/uur</t>
        </is>
      </c>
      <c r="D41" s="92" t="n">
        <v>150</v>
      </c>
      <c r="E41" s="85">
        <f>$D41</f>
        <v/>
      </c>
      <c r="F41" s="85">
        <f>$D41</f>
        <v/>
      </c>
      <c r="G41" s="13" t="inlineStr">
        <is>
          <t>Rekenaanname</t>
        </is>
      </c>
      <c r="H41" s="13" t="inlineStr">
        <is>
          <t>Te toetsen op rijploegen en rampconfiguratie</t>
        </is>
      </c>
    </row>
    <row r="42" ht="27" customHeight="1">
      <c r="A42" s="14" t="inlineStr">
        <is>
          <t>moorR</t>
        </is>
      </c>
      <c r="B42" s="13" t="inlineStr">
        <is>
          <t>Overige tijd RoRo</t>
        </is>
      </c>
      <c r="C42" s="13" t="inlineStr">
        <is>
          <t>uur/call</t>
        </is>
      </c>
      <c r="D42" s="92" t="n">
        <v>4</v>
      </c>
      <c r="E42" s="85">
        <f>$D42</f>
        <v/>
      </c>
      <c r="F42" s="85">
        <f>$D42</f>
        <v/>
      </c>
      <c r="G42" s="13" t="inlineStr">
        <is>
          <t>Rekenaanname</t>
        </is>
      </c>
      <c r="H42" s="13" t="inlineStr">
        <is>
          <t>Aan/afmeren en controles</t>
        </is>
      </c>
    </row>
    <row r="43" ht="27" customHeight="1">
      <c r="A43" s="14" t="inlineStr">
        <is>
          <t>dR</t>
        </is>
      </c>
      <c r="B43" s="13" t="inlineStr">
        <is>
          <t>Verblijftijd voertuigen</t>
        </is>
      </c>
      <c r="C43" s="13" t="inlineStr">
        <is>
          <t>dagen</t>
        </is>
      </c>
      <c r="D43" s="92" t="n">
        <v>10</v>
      </c>
      <c r="E43" s="85">
        <f>$D43</f>
        <v/>
      </c>
      <c r="F43" s="85">
        <f>$D43</f>
        <v/>
      </c>
      <c r="G43" s="13" t="inlineStr">
        <is>
          <t>Rekenaanname</t>
        </is>
      </c>
      <c r="H43" s="13" t="inlineStr">
        <is>
          <t>Open terrein</t>
        </is>
      </c>
    </row>
    <row r="44" ht="27" customHeight="1">
      <c r="A44" s="14" t="inlineStr">
        <is>
          <t>peakR</t>
        </is>
      </c>
      <c r="B44" s="13" t="inlineStr">
        <is>
          <t>Piekfactor voertuigen</t>
        </is>
      </c>
      <c r="C44" s="13" t="inlineStr">
        <is>
          <t>-</t>
        </is>
      </c>
      <c r="D44" s="92" t="n">
        <v>1.3</v>
      </c>
      <c r="E44" s="85">
        <f>$D44</f>
        <v/>
      </c>
      <c r="F44" s="85">
        <f>$D44</f>
        <v/>
      </c>
      <c r="G44" s="13" t="inlineStr">
        <is>
          <t>Rekenaanname</t>
        </is>
      </c>
      <c r="H44" s="13" t="inlineStr">
        <is>
          <t>Voorraadvorming</t>
        </is>
      </c>
    </row>
    <row r="45" ht="27" customHeight="1">
      <c r="A45" s="14" t="inlineStr">
        <is>
          <t>spaceR</t>
        </is>
      </c>
      <c r="B45" s="13" t="inlineStr">
        <is>
          <t>Parkeren en rijruimte per auto</t>
        </is>
      </c>
      <c r="C45" s="13" t="inlineStr">
        <is>
          <t>m2/auto</t>
        </is>
      </c>
      <c r="D45" s="92" t="n">
        <v>30</v>
      </c>
      <c r="E45" s="85">
        <f>$D45</f>
        <v/>
      </c>
      <c r="F45" s="85">
        <f>$D45</f>
        <v/>
      </c>
      <c r="G45" s="13" t="inlineStr">
        <is>
          <t>Rekenaanname</t>
        </is>
      </c>
      <c r="H45" s="13" t="inlineStr">
        <is>
          <t>Interne rijruimte inbegrepen</t>
        </is>
      </c>
    </row>
    <row r="46" ht="27" customHeight="1">
      <c r="A46" s="14" t="inlineStr">
        <is>
          <t>areaR</t>
        </is>
      </c>
      <c r="B46" s="13" t="inlineStr">
        <is>
          <t>RoRo-terrein reservering</t>
        </is>
      </c>
      <c r="C46" s="13" t="inlineStr">
        <is>
          <t>ha</t>
        </is>
      </c>
      <c r="D46" s="94">
        <f>'Invoer'!D112</f>
        <v/>
      </c>
      <c r="E46" s="94">
        <f>'Invoer'!E112</f>
        <v/>
      </c>
      <c r="F46" s="94">
        <f>'Invoer'!F112</f>
        <v/>
      </c>
      <c r="G46" s="13" t="inlineStr">
        <is>
          <t>Gemeten DWG</t>
        </is>
      </c>
      <c r="H46" s="13" t="inlineStr">
        <is>
          <t>Gemeten invoer hieronder; gekoppeld aan de tekening van 23 oktober 2026.</t>
        </is>
      </c>
    </row>
    <row r="47" ht="27" customHeight="1">
      <c r="A47" s="14" t="inlineStr">
        <is>
          <t>shipL</t>
        </is>
      </c>
      <c r="B47" s="13" t="inlineStr">
        <is>
          <t>Capaciteit LNG-referentie</t>
        </is>
      </c>
      <c r="C47" s="13" t="inlineStr">
        <is>
          <t>m3</t>
        </is>
      </c>
      <c r="D47" s="92" t="n">
        <v>174000</v>
      </c>
      <c r="E47" s="85">
        <f>$D47</f>
        <v/>
      </c>
      <c r="F47" s="85">
        <f>$D47</f>
        <v/>
      </c>
      <c r="G47" s="13" t="inlineStr">
        <is>
          <t>Deel 1</t>
        </is>
      </c>
      <c r="H47" s="13" t="inlineStr">
        <is>
          <t>[2] GASLOG GREECE; gegevens uit scheepsonderzoek</t>
        </is>
      </c>
    </row>
    <row r="48" ht="27" customHeight="1">
      <c r="A48" s="14" t="inlineStr">
        <is>
          <t>parcelL</t>
        </is>
      </c>
      <c r="B48" s="13" t="inlineStr">
        <is>
          <t>Effectieve LNG-lading</t>
        </is>
      </c>
      <c r="C48" s="13" t="inlineStr">
        <is>
          <t>deel</t>
        </is>
      </c>
      <c r="D48" s="93" t="n">
        <v>0.9</v>
      </c>
      <c r="E48" s="84">
        <f>$D48</f>
        <v/>
      </c>
      <c r="F48" s="84">
        <f>$D48</f>
        <v/>
      </c>
      <c r="G48" s="13" t="inlineStr">
        <is>
          <t>Rekenaanname</t>
        </is>
      </c>
      <c r="H48" s="13" t="inlineStr">
        <is>
          <t>Bij volledige ontvangst; calls niet gelijk aan tankercapaciteit</t>
        </is>
      </c>
    </row>
    <row r="49" ht="27" customHeight="1">
      <c r="A49" s="14" t="inlineStr">
        <is>
          <t>qL</t>
        </is>
      </c>
      <c r="B49" s="13" t="inlineStr">
        <is>
          <t>Netto LNG-overslag</t>
        </is>
      </c>
      <c r="C49" s="13" t="inlineStr">
        <is>
          <t>m3/uur</t>
        </is>
      </c>
      <c r="D49" s="92" t="n">
        <v>10000</v>
      </c>
      <c r="E49" s="85">
        <f>$D49</f>
        <v/>
      </c>
      <c r="F49" s="85">
        <f>$D49</f>
        <v/>
      </c>
      <c r="G49" s="13" t="inlineStr">
        <is>
          <t>Rekenaanname</t>
        </is>
      </c>
      <c r="H49" s="13" t="inlineStr">
        <is>
          <t>Lager dan 15.000 m3/uur in Gate voorbeeld [5]</t>
        </is>
      </c>
    </row>
    <row r="50" ht="27" customHeight="1">
      <c r="A50" s="14" t="inlineStr">
        <is>
          <t>moorL</t>
        </is>
      </c>
      <c r="B50" s="13" t="inlineStr">
        <is>
          <t>Overige tijd LNG</t>
        </is>
      </c>
      <c r="C50" s="13" t="inlineStr">
        <is>
          <t>uur/call</t>
        </is>
      </c>
      <c r="D50" s="92" t="n">
        <v>8</v>
      </c>
      <c r="E50" s="85">
        <f>$D50</f>
        <v/>
      </c>
      <c r="F50" s="85">
        <f>$D50</f>
        <v/>
      </c>
      <c r="G50" s="13" t="inlineStr">
        <is>
          <t>Rekenaanname</t>
        </is>
      </c>
      <c r="H50" s="13" t="inlineStr">
        <is>
          <t>Mooring, aansluiten, koelen, checks en vertrek</t>
        </is>
      </c>
    </row>
    <row r="51" ht="27" customHeight="1">
      <c r="A51" s="14" t="inlineStr">
        <is>
          <t>tanks</t>
        </is>
      </c>
      <c r="B51" s="13" t="inlineStr">
        <is>
          <t>Aantal LNG-tanks</t>
        </is>
      </c>
      <c r="C51" s="13" t="inlineStr">
        <is>
          <t>aantal</t>
        </is>
      </c>
      <c r="D51" s="92">
        <f>$D$3</f>
        <v/>
      </c>
      <c r="E51" s="85">
        <f>$D$3</f>
        <v/>
      </c>
      <c r="F51" s="85">
        <f>$D$3</f>
        <v/>
      </c>
      <c r="G51" s="13" t="inlineStr">
        <is>
          <t>Voorlopige keuze</t>
        </is>
      </c>
      <c r="H51" s="13" t="inlineStr">
        <is>
          <t>Actieve tankkeuze in D3. Alle fasen dezelfde opstelling als rekenaanname; 4 cirkels versus 3 tankdetails.</t>
        </is>
      </c>
    </row>
    <row r="52" ht="27" customHeight="1">
      <c r="A52" s="14" t="inlineStr">
        <is>
          <t>tankSize</t>
        </is>
      </c>
      <c r="B52" s="13" t="inlineStr">
        <is>
          <t>Nominale inhoud per LNG-tank</t>
        </is>
      </c>
      <c r="C52" s="13" t="inlineStr">
        <is>
          <t>m3</t>
        </is>
      </c>
      <c r="D52" s="92" t="n">
        <v>180000</v>
      </c>
      <c r="E52" s="85">
        <f>$D52</f>
        <v/>
      </c>
      <c r="F52" s="85">
        <f>$D52</f>
        <v/>
      </c>
      <c r="G52" s="13" t="inlineStr">
        <is>
          <t>Ontwerpvoorstel</t>
        </is>
      </c>
      <c r="H52" s="13" t="inlineStr">
        <is>
          <t>[5] Gate terminal: totaal 540.000 m3</t>
        </is>
      </c>
    </row>
    <row r="53" ht="27" customHeight="1">
      <c r="A53" s="14" t="inlineStr">
        <is>
          <t>lowL</t>
        </is>
      </c>
      <c r="B53" s="13" t="inlineStr">
        <is>
          <t>Ondergrens LNG-tankvulling</t>
        </is>
      </c>
      <c r="C53" s="13" t="inlineStr">
        <is>
          <t>deel</t>
        </is>
      </c>
      <c r="D53" s="93" t="n">
        <v>0.1</v>
      </c>
      <c r="E53" s="84">
        <f>$D53</f>
        <v/>
      </c>
      <c r="F53" s="84">
        <f>$D53</f>
        <v/>
      </c>
      <c r="G53" s="13" t="inlineStr">
        <is>
          <t>Rekenaanname</t>
        </is>
      </c>
      <c r="H53" s="13" t="inlineStr">
        <is>
          <t>Heel; technische grens nog bevestigen</t>
        </is>
      </c>
    </row>
    <row r="54" ht="27" customHeight="1">
      <c r="A54" s="14" t="inlineStr">
        <is>
          <t>highL</t>
        </is>
      </c>
      <c r="B54" s="13" t="inlineStr">
        <is>
          <t>Bovengrens LNG-tankvulling</t>
        </is>
      </c>
      <c r="C54" s="13" t="inlineStr">
        <is>
          <t>deel</t>
        </is>
      </c>
      <c r="D54" s="93" t="n">
        <v>0.9</v>
      </c>
      <c r="E54" s="84">
        <f>$D54</f>
        <v/>
      </c>
      <c r="F54" s="84">
        <f>$D54</f>
        <v/>
      </c>
      <c r="G54" s="13" t="inlineStr">
        <is>
          <t>Rekenaanname</t>
        </is>
      </c>
      <c r="H54" s="13" t="inlineStr">
        <is>
          <t>Vrije tankruimte; technische grens nog bevestigen</t>
        </is>
      </c>
    </row>
    <row r="55" ht="27" customHeight="1">
      <c r="A55" s="14" t="inlineStr">
        <is>
          <t>bufferL</t>
        </is>
      </c>
      <c r="B55" s="13" t="inlineStr">
        <is>
          <t>Buffer LNG bij aankomst</t>
        </is>
      </c>
      <c r="C55" s="13" t="inlineStr">
        <is>
          <t>dagen</t>
        </is>
      </c>
      <c r="D55" s="92" t="n">
        <v>7</v>
      </c>
      <c r="E55" s="85">
        <f>$D55</f>
        <v/>
      </c>
      <c r="F55" s="85">
        <f>$D55</f>
        <v/>
      </c>
      <c r="G55" s="13" t="inlineStr">
        <is>
          <t>Rekenaanname</t>
        </is>
      </c>
      <c r="H55" s="13" t="inlineStr">
        <is>
          <t>Operationele voorraad naast ontvangstruimte volledige parcel</t>
        </is>
      </c>
    </row>
    <row r="56" ht="27" customHeight="1">
      <c r="A56" s="14" t="inlineStr">
        <is>
          <t>gasRatio</t>
        </is>
      </c>
      <c r="B56" s="13" t="inlineStr">
        <is>
          <t>Gas uit 1 m3 LNG</t>
        </is>
      </c>
      <c r="C56" s="13" t="inlineStr">
        <is>
          <t>Nm3/m3</t>
        </is>
      </c>
      <c r="D56" s="92" t="n">
        <v>600</v>
      </c>
      <c r="E56" s="85">
        <f>$D56</f>
        <v/>
      </c>
      <c r="F56" s="85">
        <f>$D56</f>
        <v/>
      </c>
      <c r="G56" s="13" t="inlineStr">
        <is>
          <t>Referentiewaarde</t>
        </is>
      </c>
      <c r="H56" s="13" t="inlineStr">
        <is>
          <t>[5] Gate; gascondities en kwaliteit nader vastleggen</t>
        </is>
      </c>
    </row>
    <row r="57" ht="27" customHeight="1">
      <c r="A57" s="14" t="inlineStr">
        <is>
          <t>mwhL</t>
        </is>
      </c>
      <c r="B57" s="13" t="inlineStr">
        <is>
          <t>Energie-inhoud LNG</t>
        </is>
      </c>
      <c r="C57" s="13" t="inlineStr">
        <is>
          <t>MWh/m3</t>
        </is>
      </c>
      <c r="D57" s="92" t="n">
        <v>7</v>
      </c>
      <c r="E57" s="85">
        <f>$D57</f>
        <v/>
      </c>
      <c r="F57" s="85">
        <f>$D57</f>
        <v/>
      </c>
      <c r="G57" s="13" t="inlineStr">
        <is>
          <t>Referentiewaarde</t>
        </is>
      </c>
      <c r="H57" s="13" t="inlineStr">
        <is>
          <t>[5] Gate opleidingspresentatie; productspecificatie vereist</t>
        </is>
      </c>
    </row>
    <row r="58" ht="27" customHeight="1">
      <c r="A58" s="14" t="inlineStr">
        <is>
          <t>powerShare</t>
        </is>
      </c>
      <c r="B58" s="13" t="inlineStr">
        <is>
          <t>LNG naar elektriciteitscentrale</t>
        </is>
      </c>
      <c r="C58" s="13" t="inlineStr">
        <is>
          <t>deel</t>
        </is>
      </c>
      <c r="D58" s="93" t="n">
        <v>0.5</v>
      </c>
      <c r="E58" s="84">
        <f>$D58</f>
        <v/>
      </c>
      <c r="F58" s="84">
        <f>$D58</f>
        <v/>
      </c>
      <c r="G58" s="13" t="inlineStr">
        <is>
          <t>Rekenvoorbeeld</t>
        </is>
      </c>
      <c r="H58" s="13" t="inlineStr">
        <is>
          <t>Niet vastgesteld; rest naar regionaal gasnet</t>
        </is>
      </c>
    </row>
    <row r="59" ht="27" customHeight="1">
      <c r="A59" s="14" t="inlineStr">
        <is>
          <t>eta</t>
        </is>
      </c>
      <c r="B59" s="13" t="inlineStr">
        <is>
          <t>Elektrisch rendement</t>
        </is>
      </c>
      <c r="C59" s="13" t="inlineStr">
        <is>
          <t>deel</t>
        </is>
      </c>
      <c r="D59" s="93" t="n">
        <v>0.6</v>
      </c>
      <c r="E59" s="84">
        <f>$D59</f>
        <v/>
      </c>
      <c r="F59" s="84">
        <f>$D59</f>
        <v/>
      </c>
      <c r="G59" s="13" t="inlineStr">
        <is>
          <t>Rekenvoorbeeld</t>
        </is>
      </c>
      <c r="H59" s="13" t="inlineStr">
        <is>
          <t>CCGT-aanname voor energiebalans, geen leveranciersontwerp</t>
        </is>
      </c>
    </row>
    <row r="60" ht="27" customHeight="1">
      <c r="A60" s="14" t="inlineStr">
        <is>
          <t>loadPower</t>
        </is>
      </c>
      <c r="B60" s="13" t="inlineStr">
        <is>
          <t>Benuttingsfactor centrale</t>
        </is>
      </c>
      <c r="C60" s="13" t="inlineStr">
        <is>
          <t>deel</t>
        </is>
      </c>
      <c r="D60" s="93" t="n">
        <v>0.85</v>
      </c>
      <c r="E60" s="84">
        <f>$D60</f>
        <v/>
      </c>
      <c r="F60" s="84">
        <f>$D60</f>
        <v/>
      </c>
      <c r="G60" s="13" t="inlineStr">
        <is>
          <t>Rekenvoorbeeld</t>
        </is>
      </c>
      <c r="H60" s="13" t="inlineStr">
        <is>
          <t>Voor vermogen uit jaarlijkse energie</t>
        </is>
      </c>
    </row>
    <row r="61" ht="27" customHeight="1">
      <c r="A61" s="14" t="inlineStr">
        <is>
          <t>LOA</t>
        </is>
      </c>
      <c r="B61" s="13" t="inlineStr">
        <is>
          <t>Maatgevende LOA regulier</t>
        </is>
      </c>
      <c r="C61" s="13" t="inlineStr">
        <is>
          <t>m</t>
        </is>
      </c>
      <c r="D61" s="92" t="n">
        <v>334</v>
      </c>
      <c r="E61" s="85">
        <f>$D61</f>
        <v/>
      </c>
      <c r="F61" s="85">
        <f>$D61</f>
        <v/>
      </c>
      <c r="G61" s="13" t="inlineStr">
        <is>
          <t>Deel 1</t>
        </is>
      </c>
      <c r="H61" s="13" t="inlineStr">
        <is>
          <t>[2] EVER LUCENT; MOZAH buiten reguliere vloot</t>
        </is>
      </c>
    </row>
    <row r="62" ht="27" customHeight="1">
      <c r="A62" s="14" t="inlineStr">
        <is>
          <t>beam</t>
        </is>
      </c>
      <c r="B62" s="13" t="inlineStr">
        <is>
          <t>Maatgevende breedte regulier</t>
        </is>
      </c>
      <c r="C62" s="13" t="inlineStr">
        <is>
          <t>m</t>
        </is>
      </c>
      <c r="D62" s="92" t="n">
        <v>48.2</v>
      </c>
      <c r="E62" s="85">
        <f>$D62</f>
        <v/>
      </c>
      <c r="F62" s="85">
        <f>$D62</f>
        <v/>
      </c>
      <c r="G62" s="13" t="inlineStr">
        <is>
          <t>Deel 1</t>
        </is>
      </c>
      <c r="H62" s="13" t="inlineStr">
        <is>
          <t>[2] CMA CGM RIO GRANDE</t>
        </is>
      </c>
    </row>
    <row r="63" ht="27" customHeight="1">
      <c r="A63" s="14" t="inlineStr">
        <is>
          <t>draft</t>
        </is>
      </c>
      <c r="B63" s="13" t="inlineStr">
        <is>
          <t>Maatgevende diepgang regulier</t>
        </is>
      </c>
      <c r="C63" s="13" t="inlineStr">
        <is>
          <t>m</t>
        </is>
      </c>
      <c r="D63" s="92" t="n">
        <v>14.5</v>
      </c>
      <c r="E63" s="85">
        <f>$D63</f>
        <v/>
      </c>
      <c r="F63" s="85">
        <f>$D63</f>
        <v/>
      </c>
      <c r="G63" s="13" t="inlineStr">
        <is>
          <t>Deel 1</t>
        </is>
      </c>
      <c r="H63" s="13" t="inlineStr">
        <is>
          <t>[2] Geen onvoorwaardelijke toelating bij T = 15,0 m</t>
        </is>
      </c>
    </row>
    <row r="64" ht="27" customHeight="1">
      <c r="A64" s="14" t="inlineStr">
        <is>
          <t>squat</t>
        </is>
      </c>
      <c r="B64" s="13" t="inlineStr">
        <is>
          <t>Squat</t>
        </is>
      </c>
      <c r="C64" s="13" t="inlineStr">
        <is>
          <t>m</t>
        </is>
      </c>
      <c r="D64" s="92" t="n">
        <v>0.6</v>
      </c>
      <c r="E64" s="85">
        <f>$D64</f>
        <v/>
      </c>
      <c r="F64" s="85">
        <f>$D64</f>
        <v/>
      </c>
      <c r="G64" s="13" t="inlineStr">
        <is>
          <t>Rekenaanname</t>
        </is>
      </c>
      <c r="H64" s="13" t="inlineStr">
        <is>
          <t>Dynamisch berekenen na snelheid en bodemprofiel</t>
        </is>
      </c>
    </row>
    <row r="65" ht="27" customHeight="1">
      <c r="A65" s="14" t="inlineStr">
        <is>
          <t>wave</t>
        </is>
      </c>
      <c r="B65" s="13" t="inlineStr">
        <is>
          <t>Verticale golfbeweging</t>
        </is>
      </c>
      <c r="C65" s="13" t="inlineStr">
        <is>
          <t>m</t>
        </is>
      </c>
      <c r="D65" s="92" t="n">
        <v>0.5</v>
      </c>
      <c r="E65" s="85">
        <f>$D65</f>
        <v/>
      </c>
      <c r="F65" s="85">
        <f>$D65</f>
        <v/>
      </c>
      <c r="G65" s="13" t="inlineStr">
        <is>
          <t>Rekenaanname</t>
        </is>
      </c>
      <c r="H65" s="13" t="inlineStr">
        <is>
          <t>Geen afgeleide van enkel Hs; scheepsrespons nodig</t>
        </is>
      </c>
    </row>
    <row r="66" ht="27" customHeight="1">
      <c r="A66" s="14" t="inlineStr">
        <is>
          <t>trim</t>
        </is>
      </c>
      <c r="B66" s="13" t="inlineStr">
        <is>
          <t>Dichtheid en trim</t>
        </is>
      </c>
      <c r="C66" s="13" t="inlineStr">
        <is>
          <t>m</t>
        </is>
      </c>
      <c r="D66" s="92" t="n">
        <v>0.2</v>
      </c>
      <c r="E66" s="85">
        <f>$D66</f>
        <v/>
      </c>
      <c r="F66" s="85">
        <f>$D66</f>
        <v/>
      </c>
      <c r="G66" s="13" t="inlineStr">
        <is>
          <t>Rekenaanname</t>
        </is>
      </c>
      <c r="H66" s="13" t="inlineStr">
        <is>
          <t>Belading en dichtheid nader controleren</t>
        </is>
      </c>
    </row>
    <row r="67" ht="27" customHeight="1">
      <c r="A67" s="14" t="inlineStr">
        <is>
          <t>ukc</t>
        </is>
      </c>
      <c r="B67" s="13" t="inlineStr">
        <is>
          <t>Netto kielspeling</t>
        </is>
      </c>
      <c r="C67" s="13" t="inlineStr">
        <is>
          <t>m</t>
        </is>
      </c>
      <c r="D67" s="92" t="n">
        <v>0.8</v>
      </c>
      <c r="E67" s="85">
        <f>$D67</f>
        <v/>
      </c>
      <c r="F67" s="85">
        <f>$D67</f>
        <v/>
      </c>
      <c r="G67" s="13" t="inlineStr">
        <is>
          <t>Rekenaanname</t>
        </is>
      </c>
      <c r="H67" s="13" t="inlineStr">
        <is>
          <t>Risicokeuze, toets op harde bodem</t>
        </is>
      </c>
    </row>
    <row r="68" ht="27" customHeight="1">
      <c r="A68" s="14" t="inlineStr">
        <is>
          <t>maint</t>
        </is>
      </c>
      <c r="B68" s="13" t="inlineStr">
        <is>
          <t>Survey en onderhoud</t>
        </is>
      </c>
      <c r="C68" s="13" t="inlineStr">
        <is>
          <t>m</t>
        </is>
      </c>
      <c r="D68" s="92" t="n">
        <v>0.6</v>
      </c>
      <c r="E68" s="85">
        <f>$D68</f>
        <v/>
      </c>
      <c r="F68" s="85">
        <f>$D68</f>
        <v/>
      </c>
      <c r="G68" s="13" t="inlineStr">
        <is>
          <t>Rekenaanname</t>
        </is>
      </c>
      <c r="H68" s="13" t="inlineStr">
        <is>
          <t>Aparte component t.o.v. netto UKC</t>
        </is>
      </c>
    </row>
    <row r="69" ht="27" customHeight="1">
      <c r="A69" s="14" t="inlineStr">
        <is>
          <t>dredgeTol</t>
        </is>
      </c>
      <c r="B69" s="13" t="inlineStr">
        <is>
          <t>Baggertolerantie</t>
        </is>
      </c>
      <c r="C69" s="13" t="inlineStr">
        <is>
          <t>m</t>
        </is>
      </c>
      <c r="D69" s="92" t="n">
        <v>0.5</v>
      </c>
      <c r="E69" s="85">
        <f>$D69</f>
        <v/>
      </c>
      <c r="F69" s="85">
        <f>$D69</f>
        <v/>
      </c>
      <c r="G69" s="13" t="inlineStr">
        <is>
          <t>Rekenaanname</t>
        </is>
      </c>
      <c r="H69" s="13" t="inlineStr">
        <is>
          <t>Uitvoeringsmarge</t>
        </is>
      </c>
    </row>
    <row r="70" ht="27" customHeight="1">
      <c r="A70" s="14" t="inlineStr">
        <is>
          <t>reserve</t>
        </is>
      </c>
      <c r="B70" s="13" t="inlineStr">
        <is>
          <t>Extra dieptemarge</t>
        </is>
      </c>
      <c r="C70" s="13" t="inlineStr">
        <is>
          <t>m</t>
        </is>
      </c>
      <c r="D70" s="92" t="n">
        <v>0.5</v>
      </c>
      <c r="E70" s="85">
        <f>$D70</f>
        <v/>
      </c>
      <c r="F70" s="85">
        <f>$D70</f>
        <v/>
      </c>
      <c r="G70" s="13" t="inlineStr">
        <is>
          <t>Ontwerpvoorstel</t>
        </is>
      </c>
      <c r="H70" s="13" t="inlineStr">
        <is>
          <t>Oude bodemhypothese -18,20 m herleidbaar gemaakt</t>
        </is>
      </c>
    </row>
    <row r="71" ht="27" customHeight="1">
      <c r="A71" s="14" t="inlineStr">
        <is>
          <t>turnFac</t>
        </is>
      </c>
      <c r="B71" s="13" t="inlineStr">
        <is>
          <t>Diameter draaicirkel / LOA</t>
        </is>
      </c>
      <c r="C71" s="13" t="inlineStr">
        <is>
          <t>-</t>
        </is>
      </c>
      <c r="D71" s="92" t="n">
        <v>2.1</v>
      </c>
      <c r="E71" s="85">
        <f>$D71</f>
        <v/>
      </c>
      <c r="F71" s="85">
        <f>$D71</f>
        <v/>
      </c>
      <c r="G71" s="13" t="inlineStr">
        <is>
          <t>Projectcriterium</t>
        </is>
      </c>
      <c r="H71" s="13" t="inlineStr">
        <is>
          <t>Met tug-assist; geen universele PIANC-factor</t>
        </is>
      </c>
    </row>
    <row r="72" ht="27" customHeight="1">
      <c r="A72" s="14" t="inlineStr">
        <is>
          <t>turn</t>
        </is>
      </c>
      <c r="B72" s="13" t="inlineStr">
        <is>
          <t>Gereserveerde draaicirkel</t>
        </is>
      </c>
      <c r="C72" s="13" t="inlineStr">
        <is>
          <t>m</t>
        </is>
      </c>
      <c r="D72" s="94">
        <f>'Invoer'!D99</f>
        <v/>
      </c>
      <c r="E72" s="94">
        <f>'Invoer'!E99</f>
        <v/>
      </c>
      <c r="F72" s="94">
        <f>'Invoer'!F99</f>
        <v/>
      </c>
      <c r="G72" s="13" t="inlineStr">
        <is>
          <t>Gemeten DWG</t>
        </is>
      </c>
      <c r="H72" s="13" t="inlineStr">
        <is>
          <t>Gemeten invoer hieronder; gekoppeld aan de tekening van 23 oktober 2026.</t>
        </is>
      </c>
    </row>
    <row r="73" ht="27" customHeight="1">
      <c r="A73" s="14" t="inlineStr">
        <is>
          <t>mouth</t>
        </is>
      </c>
      <c r="B73" s="13" t="inlineStr">
        <is>
          <t>Havenmond breedte</t>
        </is>
      </c>
      <c r="C73" s="13" t="inlineStr">
        <is>
          <t>m</t>
        </is>
      </c>
      <c r="D73" s="92" t="n">
        <v>350</v>
      </c>
      <c r="E73" s="85">
        <f>$D73</f>
        <v/>
      </c>
      <c r="F73" s="85">
        <f>$D73</f>
        <v/>
      </c>
      <c r="G73" s="13" t="inlineStr">
        <is>
          <t>Ontwerpvoorstel</t>
        </is>
      </c>
      <c r="H73" s="13" t="inlineStr">
        <is>
          <t>Tussen obstakels, niet tussen getekende hartlijnen</t>
        </is>
      </c>
    </row>
    <row r="74" ht="27" customHeight="1">
      <c r="A74" s="14" t="inlineStr">
        <is>
          <t>vesselSpeed</t>
        </is>
      </c>
      <c r="B74" s="13" t="inlineStr">
        <is>
          <t>Concept vaarsnelheid</t>
        </is>
      </c>
      <c r="C74" s="13" t="inlineStr">
        <is>
          <t>knopen</t>
        </is>
      </c>
      <c r="D74" s="92" t="n">
        <v>6</v>
      </c>
      <c r="E74" s="85">
        <f>$D74</f>
        <v/>
      </c>
      <c r="F74" s="85">
        <f>$D74</f>
        <v/>
      </c>
      <c r="G74" s="13" t="inlineStr">
        <is>
          <t>Rekenaanname</t>
        </is>
      </c>
      <c r="H74" s="13" t="inlineStr">
        <is>
          <t>PIANC slow: 5 tot 8 knopen</t>
        </is>
      </c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</row>
    <row r="78">
      <c r="A78" s="20" t="inlineStr">
        <is>
          <t>Bronnenregister - invoerstatus is bepalend, getallen zonder bron zijn projectaannamen</t>
        </is>
      </c>
      <c r="B78" s="20" t="n"/>
      <c r="C78" s="20" t="n"/>
      <c r="D78" s="20" t="n"/>
      <c r="E78" s="20" t="n"/>
      <c r="F78" s="20" t="n"/>
      <c r="G78" s="20" t="n"/>
      <c r="H78" s="20" t="n"/>
    </row>
    <row r="79" ht="30" customHeight="1">
      <c r="A79" s="6" t="inlineStr">
        <is>
          <t>Ref</t>
        </is>
      </c>
      <c r="B79" s="6" t="inlineStr">
        <is>
          <t>Titel</t>
        </is>
      </c>
      <c r="C79" s="6" t="inlineStr">
        <is>
          <t>Auteur</t>
        </is>
      </c>
      <c r="D79" s="6" t="str"/>
      <c r="E79" s="6" t="str"/>
      <c r="F79" s="6" t="str"/>
      <c r="G79" s="6" t="str"/>
      <c r="H79" s="6" t="inlineStr">
        <is>
          <t>Bestand of link</t>
        </is>
      </c>
    </row>
    <row r="80" ht="70" customHeight="1">
      <c r="A80" s="1" t="inlineStr">
        <is>
          <t>[1]</t>
        </is>
      </c>
      <c r="B80" s="21" t="inlineStr">
        <is>
          <t>PPD-A Case Study</t>
        </is>
      </c>
      <c r="C80" s="21" t="inlineStr">
        <is>
          <t>NHL Stenden</t>
        </is>
      </c>
      <c r="D80" s="1" t="n"/>
      <c r="E80" s="1" t="n"/>
      <c r="F80" s="1" t="n"/>
      <c r="G80" s="1" t="n"/>
      <c r="H80" s="21" t="inlineStr">
        <is>
          <t>Cursusbestand, p.1-4; onderwijsvolumes en randvoorwaarden</t>
        </is>
      </c>
    </row>
    <row r="81" ht="70" customHeight="1">
      <c r="A81" s="1" t="inlineStr">
        <is>
          <t>[2]</t>
        </is>
      </c>
      <c r="B81" s="21" t="inlineStr">
        <is>
          <t>Rapport_groep1_26-27 en scheepsonderzoek ontwerpgrenzen</t>
        </is>
      </c>
      <c r="C81" s="21" t="inlineStr">
        <is>
          <t>Projectgroep 1</t>
        </is>
      </c>
      <c r="D81" s="1" t="n"/>
      <c r="E81" s="1" t="n"/>
      <c r="F81" s="1" t="n"/>
      <c r="G81" s="1" t="n"/>
      <c r="H81" s="21" t="inlineStr">
        <is>
          <t>Huidige documenten, gelezen 22-10-2026; brongegevens schepen als invoer</t>
        </is>
      </c>
    </row>
    <row r="82" ht="70" customHeight="1">
      <c r="A82" s="1" t="inlineStr">
        <is>
          <t>[3]</t>
        </is>
      </c>
      <c r="B82" s="21" t="inlineStr">
        <is>
          <t>Harbour Approach Channels Design Guidelines WG121</t>
        </is>
      </c>
      <c r="C82" s="21" t="inlineStr">
        <is>
          <t>PIANC 2014</t>
        </is>
      </c>
      <c r="D82" s="1" t="n"/>
      <c r="E82" s="1" t="n"/>
      <c r="F82" s="1" t="n"/>
      <c r="G82" s="1" t="n"/>
      <c r="H82" s="21" t="inlineStr">
        <is>
          <t>Aangeleverd cursus-PDF; par.3.1.5, tab.3.4-3.6, p.86-89</t>
        </is>
      </c>
    </row>
    <row r="83" ht="70" customHeight="1">
      <c r="A83" s="1" t="inlineStr">
        <is>
          <t>[4]</t>
        </is>
      </c>
      <c r="B83" s="21" t="inlineStr">
        <is>
          <t>Porto Central soil information</t>
        </is>
      </c>
      <c r="C83" s="21" t="inlineStr">
        <is>
          <t>NHL Stenden</t>
        </is>
      </c>
      <c r="D83" s="1" t="n"/>
      <c r="E83" s="1" t="n"/>
      <c r="F83" s="1" t="n"/>
      <c r="G83" s="1" t="n"/>
      <c r="H83" s="21" t="inlineStr">
        <is>
          <t>Cursusbestand, bodemverdeling en verbod hergebruik</t>
        </is>
      </c>
    </row>
    <row r="84" ht="70" customHeight="1">
      <c r="A84" s="1" t="inlineStr">
        <is>
          <t>[5]</t>
        </is>
      </c>
      <c r="B84" s="21" t="inlineStr">
        <is>
          <t>Terminal Visit 16/09/22</t>
        </is>
      </c>
      <c r="C84" s="21" t="inlineStr">
        <is>
          <t>Gate terminal 2022</t>
        </is>
      </c>
      <c r="D84" s="1" t="n"/>
      <c r="E84" s="1" t="n"/>
      <c r="F84" s="1" t="n"/>
      <c r="G84" s="1" t="n"/>
      <c r="H84" s="21" t="inlineStr">
        <is>
          <t>Aangeleverd cursusbestand, slides6-8: 600,7MWh/m3,3tanks totaal540000m3</t>
        </is>
      </c>
    </row>
    <row r="85" ht="70" customHeight="1">
      <c r="A85" s="1" t="inlineStr">
        <is>
          <t>[6]</t>
        </is>
      </c>
      <c r="B85" s="21" t="inlineStr">
        <is>
          <t>O Caso Porto Central</t>
        </is>
      </c>
      <c r="C85" s="21" t="inlineStr">
        <is>
          <t>Porto Central / José Ferro da Cunha Lima 2016</t>
        </is>
      </c>
      <c r="D85" s="1" t="n"/>
      <c r="E85" s="1" t="n"/>
      <c r="F85" s="1" t="n"/>
      <c r="G85" s="1" t="n"/>
      <c r="H85" s="21" t="inlineStr">
        <is>
          <t>https://portal.antt.gov.br/documents/20122/358563/jose_ferro_lima__porto_central.pdf/2f561adb-51c5-7d3b-f7e6-f9c4d289e328?download=true&amp;t=1591713905387&amp;version=1.0</t>
        </is>
      </c>
    </row>
    <row r="86" ht="70" customHeight="1">
      <c r="A86" s="1" t="inlineStr">
        <is>
          <t>[7]</t>
        </is>
      </c>
      <c r="B86" s="21" t="inlineStr">
        <is>
          <t>About Porto Central / Layout</t>
        </is>
      </c>
      <c r="C86" s="21" t="inlineStr">
        <is>
          <t>Porto Central</t>
        </is>
      </c>
      <c r="D86" s="1" t="n"/>
      <c r="E86" s="1" t="n"/>
      <c r="F86" s="1" t="n"/>
      <c r="G86" s="1" t="n"/>
      <c r="H86" s="21" t="inlineStr">
        <is>
          <t>https://www.portocentral.com.br/en/o-porto/</t>
        </is>
      </c>
    </row>
    <row r="87" ht="70" customHeight="1">
      <c r="A87" s="1" t="inlineStr">
        <is>
          <t>[8]</t>
        </is>
      </c>
      <c r="B87" s="21" t="inlineStr">
        <is>
          <t>Phase1 construction update</t>
        </is>
      </c>
      <c r="C87" s="21" t="inlineStr">
        <is>
          <t>Porto Central 16-09-2026</t>
        </is>
      </c>
      <c r="D87" s="1" t="n"/>
      <c r="E87" s="1" t="n"/>
      <c r="F87" s="1" t="n"/>
      <c r="G87" s="1" t="n"/>
      <c r="H87" s="21" t="inlineStr">
        <is>
          <t>https://www.portocentral.com.br/en/blog/porto-central-avanca-nas-obras-da-fase-1-e-prepara-inicio-da-infraestrutura-maritima/</t>
        </is>
      </c>
    </row>
    <row r="88" ht="46" customHeight="1">
      <c r="A88" s="1" t="inlineStr">
        <is>
          <t>[9]</t>
        </is>
      </c>
      <c r="B88" s="21" t="inlineStr">
        <is>
          <t>Haven DO en geometriecontrole</t>
        </is>
      </c>
      <c r="C88" s="21" t="inlineStr">
        <is>
          <t>Projectgroep</t>
        </is>
      </c>
      <c r="D88" s="1" t="n"/>
      <c r="E88" s="1" t="n"/>
      <c r="F88" s="1" t="n"/>
      <c r="G88" s="1" t="n"/>
      <c r="H88" s="21" t="inlineStr">
        <is>
          <t>Haven_DO.dwg en Controle_Haven_DO.pdf, 23 oktober 2026. Objectcodes staan bij de gemeten invoer.</t>
        </is>
      </c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</row>
    <row r="90" ht="25" customHeight="1">
      <c r="A90" s="42" t="inlineStr">
        <is>
          <t>Gemeten ontwerp uit Haven DO en aanvullende bedrijfsinvoer</t>
        </is>
      </c>
      <c r="B90" s="43" t="n"/>
      <c r="C90" s="43" t="n"/>
      <c r="D90" s="87" t="n"/>
      <c r="E90" s="87" t="n"/>
      <c r="F90" s="87" t="n"/>
      <c r="G90" s="43" t="n"/>
      <c r="H90" s="43" t="n"/>
    </row>
    <row r="91" ht="44" customHeight="1">
      <c r="A91" s="9" t="n"/>
      <c r="B91" s="13" t="inlineStr">
        <is>
          <t>Bron Haven_DO.dwg</t>
        </is>
      </c>
      <c r="C91" s="13" t="n"/>
      <c r="D91" s="85" t="n"/>
      <c r="E91" s="85" t="n"/>
      <c r="F91" s="85" t="n"/>
      <c r="G91" s="13" t="n"/>
      <c r="H91" s="13" t="inlineStr">
        <is>
          <t>23 oktober 2026. Eindfasewaarden gelden vanaf fase 1 waar geen andere fasering is getekend; dit is een rekenaanname.</t>
        </is>
      </c>
    </row>
    <row r="92" ht="32" customHeight="1">
      <c r="A92" s="49" t="inlineStr">
        <is>
          <t>Ref</t>
        </is>
      </c>
      <c r="B92" s="49" t="inlineStr">
        <is>
          <t>Parameter</t>
        </is>
      </c>
      <c r="C92" s="49" t="inlineStr">
        <is>
          <t>Eenheid</t>
        </is>
      </c>
      <c r="D92" s="89" t="inlineStr">
        <is>
          <t>2025</t>
        </is>
      </c>
      <c r="E92" s="89" t="inlineStr">
        <is>
          <t>2035</t>
        </is>
      </c>
      <c r="F92" s="89" t="inlineStr">
        <is>
          <t>2045</t>
        </is>
      </c>
      <c r="G92" s="49" t="inlineStr">
        <is>
          <t>Status</t>
        </is>
      </c>
      <c r="H92" s="49" t="inlineStr">
        <is>
          <t>Bron of motivering</t>
        </is>
      </c>
    </row>
    <row r="93" ht="36" customHeight="1">
      <c r="A93" s="14" t="inlineStr">
        <is>
          <t>widthStraight</t>
        </is>
      </c>
      <c r="B93" s="13" t="inlineStr">
        <is>
          <t>Getekende rechte geulbreedte</t>
        </is>
      </c>
      <c r="C93" s="13" t="inlineStr">
        <is>
          <t>m</t>
        </is>
      </c>
      <c r="D93" s="95" t="n">
        <v>220</v>
      </c>
      <c r="E93" s="85">
        <f>$D93</f>
        <v/>
      </c>
      <c r="F93" s="85">
        <f>$D93</f>
        <v/>
      </c>
      <c r="G93" s="13" t="inlineStr">
        <is>
          <t>Gemeten DWG</t>
        </is>
      </c>
      <c r="H93" s="13" t="inlineStr">
        <is>
          <t>Loodrechte steekproefdoorsneden op as 1E5</t>
        </is>
      </c>
    </row>
    <row r="94" ht="36" customHeight="1">
      <c r="A94" s="14" t="inlineStr">
        <is>
          <t>widthCurve</t>
        </is>
      </c>
      <c r="B94" s="13" t="inlineStr">
        <is>
          <t>Getekende breedte geulbocht</t>
        </is>
      </c>
      <c r="C94" s="13" t="inlineStr">
        <is>
          <t>m</t>
        </is>
      </c>
      <c r="D94" s="95" t="n">
        <v>260</v>
      </c>
      <c r="E94" s="85">
        <f>$D94</f>
        <v/>
      </c>
      <c r="F94" s="85">
        <f>$D94</f>
        <v/>
      </c>
      <c r="G94" s="13" t="inlineStr">
        <is>
          <t>Gemeten DWG</t>
        </is>
      </c>
      <c r="H94" s="13" t="inlineStr">
        <is>
          <t>Bochtdeel geulpolygoon 1E3</t>
        </is>
      </c>
    </row>
    <row r="95" ht="36" customHeight="1">
      <c r="A95" s="14" t="inlineStr">
        <is>
          <t>curveR</t>
        </is>
      </c>
      <c r="B95" s="13" t="inlineStr">
        <is>
          <t>Straal geulbocht</t>
        </is>
      </c>
      <c r="C95" s="13" t="inlineStr">
        <is>
          <t>m</t>
        </is>
      </c>
      <c r="D95" s="95" t="n">
        <v>3400</v>
      </c>
      <c r="E95" s="85">
        <f>$D95</f>
        <v/>
      </c>
      <c r="F95" s="85">
        <f>$D95</f>
        <v/>
      </c>
      <c r="G95" s="13" t="inlineStr">
        <is>
          <t>Gemeten DWG</t>
        </is>
      </c>
      <c r="H95" s="13" t="inlineStr">
        <is>
          <t>As 1E5, boog uit drie punten</t>
        </is>
      </c>
    </row>
    <row r="96" ht="36" customHeight="1">
      <c r="A96" s="14" t="inlineStr">
        <is>
          <t>curveAngle</t>
        </is>
      </c>
      <c r="B96" s="13" t="inlineStr">
        <is>
          <t>Richtingsverandering geul</t>
        </is>
      </c>
      <c r="C96" s="13" t="inlineStr">
        <is>
          <t>graden</t>
        </is>
      </c>
      <c r="D96" s="95" t="n">
        <v>45.93080646288794</v>
      </c>
      <c r="E96" s="85">
        <f>$D96</f>
        <v/>
      </c>
      <c r="F96" s="85">
        <f>$D96</f>
        <v/>
      </c>
      <c r="G96" s="13" t="inlineStr">
        <is>
          <t>Gemeten DWG</t>
        </is>
      </c>
      <c r="H96" s="13" t="inlineStr">
        <is>
          <t>As 1E5, totale hoekverandering</t>
        </is>
      </c>
    </row>
    <row r="97" ht="36" customHeight="1">
      <c r="A97" s="14" t="inlineStr">
        <is>
          <t>axis</t>
        </is>
      </c>
      <c r="B97" s="13" t="inlineStr">
        <is>
          <t>Totale lengte hoofdgeulas</t>
        </is>
      </c>
      <c r="C97" s="13" t="inlineStr">
        <is>
          <t>m</t>
        </is>
      </c>
      <c r="D97" s="95" t="n">
        <v>21945.50968122877</v>
      </c>
      <c r="E97" s="85">
        <f>$D97</f>
        <v/>
      </c>
      <c r="F97" s="85">
        <f>$D97</f>
        <v/>
      </c>
      <c r="G97" s="13" t="inlineStr">
        <is>
          <t>Gemeten DWG</t>
        </is>
      </c>
      <c r="H97" s="13" t="inlineStr">
        <is>
          <t>1E5; damhartlijnen 1DF en 1E2 uitgesloten</t>
        </is>
      </c>
    </row>
    <row r="98" ht="36" customHeight="1">
      <c r="A98" s="14" t="inlineStr">
        <is>
          <t>stop</t>
        </is>
      </c>
      <c r="B98" s="13" t="inlineStr">
        <is>
          <t>Asdeel binnen de havenmond</t>
        </is>
      </c>
      <c r="C98" s="13" t="inlineStr">
        <is>
          <t>m</t>
        </is>
      </c>
      <c r="D98" s="95" t="n">
        <v>1720.058717166325</v>
      </c>
      <c r="E98" s="85">
        <f>$D98</f>
        <v/>
      </c>
      <c r="F98" s="85">
        <f>$D98</f>
        <v/>
      </c>
      <c r="G98" s="13" t="inlineStr">
        <is>
          <t>Gemeten DWG</t>
        </is>
      </c>
      <c r="H98" s="13" t="inlineStr">
        <is>
          <t>Eerste segment 1E5; ook stopweg</t>
        </is>
      </c>
    </row>
    <row r="99" ht="36" customHeight="1">
      <c r="A99" s="14" t="inlineStr">
        <is>
          <t>turnOuter</t>
        </is>
      </c>
      <c r="B99" s="13" t="inlineStr">
        <is>
          <t>Diameter buitenste draaikom</t>
        </is>
      </c>
      <c r="C99" s="13" t="inlineStr">
        <is>
          <t>m</t>
        </is>
      </c>
      <c r="D99" s="95" t="n">
        <v>720</v>
      </c>
      <c r="E99" s="85">
        <f>$D99</f>
        <v/>
      </c>
      <c r="F99" s="85">
        <f>$D99</f>
        <v/>
      </c>
      <c r="G99" s="13" t="inlineStr">
        <is>
          <t>Gemeten DWG</t>
        </is>
      </c>
      <c r="H99" s="13" t="inlineStr">
        <is>
          <t>1E6</t>
        </is>
      </c>
    </row>
    <row r="100" ht="36" customHeight="1">
      <c r="A100" s="14" t="inlineStr">
        <is>
          <t>turnInner</t>
        </is>
      </c>
      <c r="B100" s="13" t="inlineStr">
        <is>
          <t>Diameter binnenste zwaaiplaats</t>
        </is>
      </c>
      <c r="C100" s="13" t="inlineStr">
        <is>
          <t>m</t>
        </is>
      </c>
      <c r="D100" s="95" t="n">
        <v>670</v>
      </c>
      <c r="E100" s="85">
        <f>$D100</f>
        <v/>
      </c>
      <c r="F100" s="85">
        <f>$D100</f>
        <v/>
      </c>
      <c r="G100" s="13" t="inlineStr">
        <is>
          <t>Gemeten DWG</t>
        </is>
      </c>
      <c r="H100" s="13" t="inlineStr">
        <is>
          <t>1ED</t>
        </is>
      </c>
    </row>
    <row r="101" ht="36" customHeight="1">
      <c r="A101" s="14" t="inlineStr">
        <is>
          <t>depthC</t>
        </is>
      </c>
      <c r="B101" s="13" t="inlineStr">
        <is>
          <t>Diepte hoofdgeul en containerbekken</t>
        </is>
      </c>
      <c r="C101" s="13" t="inlineStr">
        <is>
          <t>m MLWS</t>
        </is>
      </c>
      <c r="D101" s="95" t="n">
        <v>18.2</v>
      </c>
      <c r="E101" s="85">
        <f>$D101</f>
        <v/>
      </c>
      <c r="F101" s="85">
        <f>$D101</f>
        <v/>
      </c>
      <c r="G101" s="13" t="inlineStr">
        <is>
          <t>Tekst in DWG</t>
        </is>
      </c>
      <c r="H101" s="13" t="inlineStr">
        <is>
          <t>474, 489, 48C; positief naar beneden; datum voorlopig</t>
        </is>
      </c>
    </row>
    <row r="102" ht="36" customHeight="1">
      <c r="A102" s="14" t="inlineStr">
        <is>
          <t>depthL</t>
        </is>
      </c>
      <c r="B102" s="13" t="inlineStr">
        <is>
          <t>Diepte LNG-vaarweg</t>
        </is>
      </c>
      <c r="C102" s="13" t="inlineStr">
        <is>
          <t>m MLWS</t>
        </is>
      </c>
      <c r="D102" s="95" t="n">
        <v>16.2</v>
      </c>
      <c r="E102" s="85">
        <f>$D102</f>
        <v/>
      </c>
      <c r="F102" s="85">
        <f>$D102</f>
        <v/>
      </c>
      <c r="G102" s="13" t="inlineStr">
        <is>
          <t>Tekst in DWG</t>
        </is>
      </c>
      <c r="H102" s="13" t="inlineStr">
        <is>
          <t>48D; positief naar beneden</t>
        </is>
      </c>
    </row>
    <row r="103" ht="36" customHeight="1">
      <c r="A103" s="14" t="inlineStr">
        <is>
          <t>depthR</t>
        </is>
      </c>
      <c r="B103" s="13" t="inlineStr">
        <is>
          <t>Diepte RoRo-zone</t>
        </is>
      </c>
      <c r="C103" s="13" t="inlineStr">
        <is>
          <t>m MLWS</t>
        </is>
      </c>
      <c r="D103" s="95" t="n">
        <v>13.7</v>
      </c>
      <c r="E103" s="85">
        <f>$D103</f>
        <v/>
      </c>
      <c r="F103" s="85">
        <f>$D103</f>
        <v/>
      </c>
      <c r="G103" s="13" t="inlineStr">
        <is>
          <t>Tekst in DWG</t>
        </is>
      </c>
      <c r="H103" s="13" t="inlineStr">
        <is>
          <t>490; positief naar beneden</t>
        </is>
      </c>
    </row>
    <row r="104" ht="36" customHeight="1">
      <c r="A104" s="14" t="inlineStr">
        <is>
          <t>draftL</t>
        </is>
      </c>
      <c r="B104" s="13" t="inlineStr">
        <is>
          <t>Diepgang LNG-referentie</t>
        </is>
      </c>
      <c r="C104" s="13" t="inlineStr">
        <is>
          <t>m</t>
        </is>
      </c>
      <c r="D104" s="95" t="n">
        <v>12.5</v>
      </c>
      <c r="E104" s="85">
        <f>$D104</f>
        <v/>
      </c>
      <c r="F104" s="85">
        <f>$D104</f>
        <v/>
      </c>
      <c r="G104" s="13" t="inlineStr">
        <is>
          <t>Deel 1</t>
        </is>
      </c>
      <c r="H104" s="13" t="inlineStr">
        <is>
          <t>GASLOG GREECE; eerdere scheepsgegevens</t>
        </is>
      </c>
    </row>
    <row r="105" ht="36" customHeight="1">
      <c r="A105" s="14" t="inlineStr">
        <is>
          <t>draftR</t>
        </is>
      </c>
      <c r="B105" s="13" t="inlineStr">
        <is>
          <t>Diepgang RoRo-referentie voor toets</t>
        </is>
      </c>
      <c r="C105" s="13" t="inlineStr">
        <is>
          <t>m</t>
        </is>
      </c>
      <c r="D105" s="95" t="n">
        <v>10</v>
      </c>
      <c r="E105" s="85">
        <f>$D105</f>
        <v/>
      </c>
      <c r="F105" s="85">
        <f>$D105</f>
        <v/>
      </c>
      <c r="G105" s="13" t="inlineStr">
        <is>
          <t>Deel 1</t>
        </is>
      </c>
      <c r="H105" s="13" t="inlineStr">
        <is>
          <t>BYD SHENZHEN; bovengrens eerdere 9,2-10 m</t>
        </is>
      </c>
    </row>
    <row r="106" ht="36" customHeight="1">
      <c r="A106" s="14" t="inlineStr">
        <is>
          <t>draftB</t>
        </is>
      </c>
      <c r="B106" s="13" t="inlineStr">
        <is>
          <t>Diepgang graanreferentie</t>
        </is>
      </c>
      <c r="C106" s="13" t="inlineStr">
        <is>
          <t>m</t>
        </is>
      </c>
      <c r="D106" s="95" t="n">
        <v>14.45</v>
      </c>
      <c r="E106" s="85">
        <f>$D106</f>
        <v/>
      </c>
      <c r="F106" s="85">
        <f>$D106</f>
        <v/>
      </c>
      <c r="G106" s="13" t="inlineStr">
        <is>
          <t>Deel 1</t>
        </is>
      </c>
      <c r="H106" s="13" t="inlineStr">
        <is>
          <t>KIRA OLDENDORFF</t>
        </is>
      </c>
    </row>
    <row r="107" ht="36" customHeight="1">
      <c r="A107" s="14" t="inlineStr">
        <is>
          <t>ctModule</t>
        </is>
      </c>
      <c r="B107" s="13" t="inlineStr">
        <is>
          <t>Gemeten containerkade per plaats</t>
        </is>
      </c>
      <c r="C107" s="13" t="inlineStr">
        <is>
          <t>m</t>
        </is>
      </c>
      <c r="D107" s="95" t="n">
        <v>401.096091007006</v>
      </c>
      <c r="E107" s="85">
        <f>$D107</f>
        <v/>
      </c>
      <c r="F107" s="85">
        <f>$D107</f>
        <v/>
      </c>
      <c r="G107" s="13" t="inlineStr">
        <is>
          <t>Gemeten DWG</t>
        </is>
      </c>
      <c r="H107" s="13" t="inlineStr">
        <is>
          <t>1FA / 1FD / 200 / 203, elk dezelfde lengte</t>
        </is>
      </c>
    </row>
    <row r="108" ht="36" customHeight="1">
      <c r="A108" s="14" t="inlineStr">
        <is>
          <t>ctYard</t>
        </is>
      </c>
      <c r="B108" s="13" t="inlineStr">
        <is>
          <t>Cumulatief containerterrein</t>
        </is>
      </c>
      <c r="C108" s="13" t="inlineStr">
        <is>
          <t>ha</t>
        </is>
      </c>
      <c r="D108" s="95" t="n">
        <v>72.00137587497954</v>
      </c>
      <c r="E108" s="95" t="n">
        <v>108.0020638125854</v>
      </c>
      <c r="F108" s="95" t="n">
        <v>144.0027517500073</v>
      </c>
      <c r="G108" s="13" t="inlineStr">
        <is>
          <t>Gemeten DWG</t>
        </is>
      </c>
      <c r="H108" s="13" t="inlineStr">
        <is>
          <t>1F4; daarna +1F6 en +1F8 volgens fasegrenzen</t>
        </is>
      </c>
    </row>
    <row r="109" ht="36" customHeight="1">
      <c r="A109" s="14" t="inlineStr">
        <is>
          <t>areaB</t>
        </is>
      </c>
      <c r="B109" s="13" t="inlineStr">
        <is>
          <t>Graan hoofdterrein</t>
        </is>
      </c>
      <c r="C109" s="13" t="inlineStr">
        <is>
          <t>ha</t>
        </is>
      </c>
      <c r="D109" s="95" t="n">
        <v>30.42184007252175</v>
      </c>
      <c r="E109" s="85">
        <f>$D109</f>
        <v/>
      </c>
      <c r="F109" s="85">
        <f>$D109</f>
        <v/>
      </c>
      <c r="G109" s="13" t="inlineStr">
        <is>
          <t>Gemeten DWG</t>
        </is>
      </c>
      <c r="H109" s="13" t="inlineStr">
        <is>
          <t>214; 216 en loods liggen hierin</t>
        </is>
      </c>
    </row>
    <row r="110" ht="36" customHeight="1">
      <c r="A110" s="14" t="inlineStr">
        <is>
          <t>subB</t>
        </is>
      </c>
      <c r="B110" s="13" t="inlineStr">
        <is>
          <t>Graan opslagdeel binnen perceel</t>
        </is>
      </c>
      <c r="C110" s="13" t="inlineStr">
        <is>
          <t>ha</t>
        </is>
      </c>
      <c r="D110" s="95" t="n">
        <v>7.552591874980035</v>
      </c>
      <c r="E110" s="85">
        <f>$D110</f>
        <v/>
      </c>
      <c r="F110" s="85">
        <f>$D110</f>
        <v/>
      </c>
      <c r="G110" s="13" t="inlineStr">
        <is>
          <t>Gemeten DWG</t>
        </is>
      </c>
      <c r="H110" s="13" t="inlineStr">
        <is>
          <t>216; niet bovenop hoofdterrein optellen</t>
        </is>
      </c>
    </row>
    <row r="111" ht="36" customHeight="1">
      <c r="A111" s="14" t="inlineStr">
        <is>
          <t>quayB</t>
        </is>
      </c>
      <c r="B111" s="13" t="inlineStr">
        <is>
          <t>Gemeten graankade</t>
        </is>
      </c>
      <c r="C111" s="13" t="inlineStr">
        <is>
          <t>m</t>
        </is>
      </c>
      <c r="D111" s="95" t="n">
        <v>301.0500000002684</v>
      </c>
      <c r="E111" s="85">
        <f>$D111</f>
        <v/>
      </c>
      <c r="F111" s="85">
        <f>$D111</f>
        <v/>
      </c>
      <c r="G111" s="13" t="inlineStr">
        <is>
          <t>Gemeten DWG</t>
        </is>
      </c>
      <c r="H111" s="13" t="inlineStr">
        <is>
          <t>21B; lijn 21C niet als extra ligplaats tellen</t>
        </is>
      </c>
    </row>
    <row r="112" ht="36" customHeight="1">
      <c r="A112" s="14" t="inlineStr">
        <is>
          <t>areaR</t>
        </is>
      </c>
      <c r="B112" s="13" t="inlineStr">
        <is>
          <t>RoRo hoofdterrein</t>
        </is>
      </c>
      <c r="C112" s="13" t="inlineStr">
        <is>
          <t>ha</t>
        </is>
      </c>
      <c r="D112" s="95" t="n">
        <v>30.2103675000326</v>
      </c>
      <c r="E112" s="85">
        <f>$D112</f>
        <v/>
      </c>
      <c r="F112" s="85">
        <f>$D112</f>
        <v/>
      </c>
      <c r="G112" s="13" t="inlineStr">
        <is>
          <t>Gemeten DWG</t>
        </is>
      </c>
      <c r="H112" s="13" t="inlineStr">
        <is>
          <t>208; rampdeel 20D ligt binnen perceel</t>
        </is>
      </c>
    </row>
    <row r="113" ht="36" customHeight="1">
      <c r="A113" s="14" t="inlineStr">
        <is>
          <t>quayR</t>
        </is>
      </c>
      <c r="B113" s="13" t="inlineStr">
        <is>
          <t>Gemeten RoRo-kade</t>
        </is>
      </c>
      <c r="C113" s="13" t="inlineStr">
        <is>
          <t>m</t>
        </is>
      </c>
      <c r="D113" s="95" t="n">
        <v>299.5598777587135</v>
      </c>
      <c r="E113" s="85">
        <f>$D113</f>
        <v/>
      </c>
      <c r="F113" s="85">
        <f>$D113</f>
        <v/>
      </c>
      <c r="G113" s="13" t="inlineStr">
        <is>
          <t>Gemeten DWG</t>
        </is>
      </c>
      <c r="H113" s="13" t="inlineStr">
        <is>
          <t>20A</t>
        </is>
      </c>
    </row>
    <row r="114" ht="36" customHeight="1">
      <c r="A114" s="14" t="inlineStr">
        <is>
          <t>parkR</t>
        </is>
      </c>
      <c r="B114" s="13" t="inlineStr">
        <is>
          <t>RoRo aangewezen parkeervlakken</t>
        </is>
      </c>
      <c r="C114" s="13" t="inlineStr">
        <is>
          <t>m2</t>
        </is>
      </c>
      <c r="D114" s="95" t="n">
        <v>121224.2477681195</v>
      </c>
      <c r="E114" s="85">
        <f>$D114</f>
        <v/>
      </c>
      <c r="F114" s="85">
        <f>$D114</f>
        <v/>
      </c>
      <c r="G114" s="13" t="inlineStr">
        <is>
          <t>Gemeten DWG</t>
        </is>
      </c>
      <c r="H114" s="13" t="inlineStr">
        <is>
          <t>7 parkeervlakken binnen 208; eindfase, vanaf fase 1 als rekenaanname</t>
        </is>
      </c>
    </row>
    <row r="115" ht="36" customHeight="1">
      <c r="A115" s="14" t="inlineStr">
        <is>
          <t>areaL</t>
        </is>
      </c>
      <c r="B115" s="13" t="inlineStr">
        <is>
          <t>LNG hoofdterrein</t>
        </is>
      </c>
      <c r="C115" s="13" t="inlineStr">
        <is>
          <t>ha</t>
        </is>
      </c>
      <c r="D115" s="95" t="n">
        <v>54.85599078332842</v>
      </c>
      <c r="E115" s="85">
        <f>$D115</f>
        <v/>
      </c>
      <c r="F115" s="85">
        <f>$D115</f>
        <v/>
      </c>
      <c r="G115" s="13" t="inlineStr">
        <is>
          <t>Gemeten DWG</t>
        </is>
      </c>
      <c r="H115" s="13" t="inlineStr">
        <is>
          <t>21F; strook 229 en tankcirkels niet apart optellen</t>
        </is>
      </c>
    </row>
    <row r="116" ht="36" customHeight="1">
      <c r="A116" s="14" t="inlineStr">
        <is>
          <t>areaP</t>
        </is>
      </c>
      <c r="B116" s="13" t="inlineStr">
        <is>
          <t>Centrale en utilities</t>
        </is>
      </c>
      <c r="C116" s="13" t="inlineStr">
        <is>
          <t>ha</t>
        </is>
      </c>
      <c r="D116" s="95" t="n">
        <v>43.50292919997756</v>
      </c>
      <c r="E116" s="85">
        <f>$D116</f>
        <v/>
      </c>
      <c r="F116" s="85">
        <f>$D116</f>
        <v/>
      </c>
      <c r="G116" s="13" t="inlineStr">
        <is>
          <t>Gemeten DWG</t>
        </is>
      </c>
      <c r="H116" s="13" t="inlineStr">
        <is>
          <t>22B; geen afleiding van elektrisch vermogen</t>
        </is>
      </c>
    </row>
    <row r="117" ht="36" customHeight="1">
      <c r="A117" s="14" t="inlineStr">
        <is>
          <t>areaS</t>
        </is>
      </c>
      <c r="B117" s="13" t="inlineStr">
        <is>
          <t>Havendienst</t>
        </is>
      </c>
      <c r="C117" s="13" t="inlineStr">
        <is>
          <t>ha</t>
        </is>
      </c>
      <c r="D117" s="95" t="n">
        <v>42.95410752371253</v>
      </c>
      <c r="E117" s="85">
        <f>$D117</f>
        <v/>
      </c>
      <c r="F117" s="85">
        <f>$D117</f>
        <v/>
      </c>
      <c r="G117" s="13" t="inlineStr">
        <is>
          <t>Gemeten DWG</t>
        </is>
      </c>
      <c r="H117" s="13" t="inlineStr">
        <is>
          <t>219</t>
        </is>
      </c>
    </row>
    <row r="118" ht="36" customHeight="1">
      <c r="A118" s="14" t="inlineStr">
        <is>
          <t>areaReserve</t>
        </is>
      </c>
      <c r="B118" s="13" t="inlineStr">
        <is>
          <t>Reserve na 2045</t>
        </is>
      </c>
      <c r="C118" s="13" t="inlineStr">
        <is>
          <t>ha</t>
        </is>
      </c>
      <c r="D118" s="95" t="n">
        <v>131.1432053175152</v>
      </c>
      <c r="E118" s="85">
        <f>$D118</f>
        <v/>
      </c>
      <c r="F118" s="85">
        <f>$D118</f>
        <v/>
      </c>
      <c r="G118" s="13" t="inlineStr">
        <is>
          <t>Gemeten DWG</t>
        </is>
      </c>
      <c r="H118" s="13" t="inlineStr">
        <is>
          <t>212</t>
        </is>
      </c>
    </row>
    <row r="119" ht="36" customHeight="1">
      <c r="A119" s="14" t="inlineStr">
        <is>
          <t>stackArea</t>
        </is>
      </c>
      <c r="B119" s="13" t="inlineStr">
        <is>
          <t>Reguliere stackblokken per fase</t>
        </is>
      </c>
      <c r="C119" s="13" t="inlineStr">
        <is>
          <t>m2</t>
        </is>
      </c>
      <c r="D119" s="95" t="n">
        <v>325052.2473661086</v>
      </c>
      <c r="E119" s="95" t="n">
        <v>505578.3710493946</v>
      </c>
      <c r="F119" s="95" t="n">
        <v>653951.9999996573</v>
      </c>
      <c r="G119" s="13" t="inlineStr">
        <is>
          <t>Gemeten DWG</t>
        </is>
      </c>
      <c r="H119" s="13" t="inlineStr">
        <is>
          <t>94 blokken; oppervlakte geknipt op cumulatieve fasevlakken</t>
        </is>
      </c>
    </row>
    <row r="120" ht="36" customHeight="1">
      <c r="A120" s="14" t="inlineStr">
        <is>
          <t>reeferArea</t>
        </is>
      </c>
      <c r="B120" s="13" t="inlineStr">
        <is>
          <t>Reefervakken per fase</t>
        </is>
      </c>
      <c r="C120" s="13" t="inlineStr">
        <is>
          <t>m2</t>
        </is>
      </c>
      <c r="D120" s="95" t="n">
        <v>21600.00000004587</v>
      </c>
      <c r="E120" s="95" t="n">
        <v>21600.00000004587</v>
      </c>
      <c r="F120" s="95" t="n">
        <v>21600.00000004587</v>
      </c>
      <c r="G120" s="13" t="inlineStr">
        <is>
          <t>Gemeten DWG</t>
        </is>
      </c>
      <c r="H120" s="13" t="inlineStr">
        <is>
          <t>3 vakken, allemaal in eerste terreinvlak</t>
        </is>
      </c>
    </row>
    <row r="121" ht="36" customHeight="1">
      <c r="A121" s="14" t="inlineStr">
        <is>
          <t>emptyArea</t>
        </is>
      </c>
      <c r="B121" s="13" t="inlineStr">
        <is>
          <t>Aparte vakken lege containers</t>
        </is>
      </c>
      <c r="C121" s="13" t="inlineStr">
        <is>
          <t>m2</t>
        </is>
      </c>
      <c r="D121" s="95" t="n">
        <v>0</v>
      </c>
      <c r="E121" s="95" t="n">
        <v>0</v>
      </c>
      <c r="F121" s="95" t="n">
        <v>17567.99999997565</v>
      </c>
      <c r="G121" s="13" t="inlineStr">
        <is>
          <t>Gemeten DWG</t>
        </is>
      </c>
      <c r="H121" s="13" t="inlineStr">
        <is>
          <t>3 vakken alleen in laatste terreinvlak; 0 is geen aparte ruimte in die fase</t>
        </is>
      </c>
    </row>
    <row r="122" ht="36" customHeight="1">
      <c r="A122" s="14" t="inlineStr">
        <is>
          <t>usableSlots</t>
        </is>
      </c>
      <c r="B122" s="13" t="inlineStr">
        <is>
          <t>Bruikbare TEU-grondslots totaal</t>
        </is>
      </c>
      <c r="C122" s="13" t="inlineStr">
        <is>
          <t>slots</t>
        </is>
      </c>
      <c r="D122" s="96" t="n">
        <v>20284</v>
      </c>
      <c r="E122" s="96" t="n">
        <v>30426</v>
      </c>
      <c r="F122" s="96" t="n">
        <v>40558</v>
      </c>
      <c r="G122" s="13" t="inlineStr">
        <is>
          <t>Nog invullen</t>
        </is>
      </c>
      <c r="H122" s="13" t="inlineStr">
        <is>
          <t>Uit getekende stackblokken DO-06 (HV-D-STACK) per fase, 28 m2 per TEU-grondslot; lege containers in de reguliere blokken</t>
        </is>
      </c>
    </row>
    <row r="123" ht="36" customHeight="1">
      <c r="A123" s="14" t="inlineStr">
        <is>
          <t>emptySlots</t>
        </is>
      </c>
      <c r="B123" s="13" t="inlineStr">
        <is>
          <t>Bruikbare grondslots lege containers</t>
        </is>
      </c>
      <c r="C123" s="13" t="inlineStr">
        <is>
          <t>slots</t>
        </is>
      </c>
      <c r="D123" s="97" t="n"/>
      <c r="E123" s="97" t="n"/>
      <c r="F123" s="97" t="n"/>
      <c r="G123" s="13" t="inlineStr">
        <is>
          <t>Nog invullen</t>
        </is>
      </c>
      <c r="H123" s="13" t="inlineStr">
        <is>
          <t>Mag toegewezen ruimte in reguliere blokken omvatten; niet bovenop totaal tellen</t>
        </is>
      </c>
    </row>
    <row r="124" ht="36" customHeight="1">
      <c r="A124" s="14" t="inlineStr">
        <is>
          <t>footprint</t>
        </is>
      </c>
      <c r="B124" s="13" t="inlineStr">
        <is>
          <t>TEU-voetafdruk voor bovengrens</t>
        </is>
      </c>
      <c r="C124" s="13" t="inlineStr">
        <is>
          <t>m2/TEU</t>
        </is>
      </c>
      <c r="D124" s="98" t="n">
        <v>14.8</v>
      </c>
      <c r="E124" s="85">
        <f>$D124</f>
        <v/>
      </c>
      <c r="F124" s="85">
        <f>$D124</f>
        <v/>
      </c>
      <c r="G124" s="13" t="inlineStr">
        <is>
          <t>Rekenaanname</t>
        </is>
      </c>
      <c r="H124" s="13" t="inlineStr">
        <is>
          <t>Zeer dicht geometrisch maximum zonder rijruimte; geen operationele slotmaat</t>
        </is>
      </c>
    </row>
    <row r="125" ht="36" customHeight="1">
      <c r="A125" s="14" t="inlineStr">
        <is>
          <t>siloN</t>
        </is>
      </c>
      <c r="B125" s="13" t="inlineStr">
        <is>
          <t>Aantal graansilo’s</t>
        </is>
      </c>
      <c r="C125" s="13" t="inlineStr">
        <is>
          <t>aantal</t>
        </is>
      </c>
      <c r="D125" s="99" t="n">
        <v>8</v>
      </c>
      <c r="E125" s="83">
        <f>$D125</f>
        <v/>
      </c>
      <c r="F125" s="83">
        <f>$D125</f>
        <v/>
      </c>
      <c r="G125" s="13" t="inlineStr">
        <is>
          <t>Getekend</t>
        </is>
      </c>
      <c r="H125" s="13" t="inlineStr">
        <is>
          <t>HV-D-OPSLAG 343 t/m 351</t>
        </is>
      </c>
    </row>
    <row r="126" ht="36" customHeight="1">
      <c r="A126" s="14" t="inlineStr">
        <is>
          <t>siloD</t>
        </is>
      </c>
      <c r="B126" s="13" t="inlineStr">
        <is>
          <t>Nominale silodiameter</t>
        </is>
      </c>
      <c r="C126" s="13" t="inlineStr">
        <is>
          <t>m</t>
        </is>
      </c>
      <c r="D126" s="95" t="n">
        <v>30</v>
      </c>
      <c r="E126" s="85">
        <f>$D126</f>
        <v/>
      </c>
      <c r="F126" s="85">
        <f>$D126</f>
        <v/>
      </c>
      <c r="G126" s="13" t="inlineStr">
        <is>
          <t>Tekst in DWG</t>
        </is>
      </c>
      <c r="H126" s="13" t="inlineStr">
        <is>
          <t>74F: 8 x D30 m; gemeten cirkels circa 30,1 m</t>
        </is>
      </c>
    </row>
    <row r="127" ht="36" customHeight="1">
      <c r="A127" s="14" t="inlineStr">
        <is>
          <t>siloH</t>
        </is>
      </c>
      <c r="B127" s="13" t="inlineStr">
        <is>
          <t>Aangegeven silohoogte</t>
        </is>
      </c>
      <c r="C127" s="13" t="inlineStr">
        <is>
          <t>m</t>
        </is>
      </c>
      <c r="D127" s="95" t="n">
        <v>40</v>
      </c>
      <c r="E127" s="85">
        <f>$D127</f>
        <v/>
      </c>
      <c r="F127" s="85">
        <f>$D127</f>
        <v/>
      </c>
      <c r="G127" s="13" t="inlineStr">
        <is>
          <t>Tekst in DWG</t>
        </is>
      </c>
      <c r="H127" s="13" t="inlineStr">
        <is>
          <t>74F; cilinderhoogte en bruikbaarheid nog bevestigen</t>
        </is>
      </c>
    </row>
    <row r="128" ht="36" customHeight="1">
      <c r="A128" s="14" t="inlineStr">
        <is>
          <t>siloFill</t>
        </is>
      </c>
      <c r="B128" s="13" t="inlineStr">
        <is>
          <t>Benutting bruto silocilinder</t>
        </is>
      </c>
      <c r="C128" s="13" t="inlineStr">
        <is>
          <t>deel</t>
        </is>
      </c>
      <c r="D128" s="100" t="n">
        <v>0.9</v>
      </c>
      <c r="E128" s="84">
        <f>$D128</f>
        <v/>
      </c>
      <c r="F128" s="84">
        <f>$D128</f>
        <v/>
      </c>
      <c r="G128" s="13" t="inlineStr">
        <is>
          <t>Rekenaanname</t>
        </is>
      </c>
      <c r="H128" s="13" t="inlineStr">
        <is>
          <t>Indicatief scenario uit controleverslag; geen productspecificatie</t>
        </is>
      </c>
    </row>
    <row r="129" ht="36" customHeight="1">
      <c r="A129" s="14" t="inlineStr">
        <is>
          <t>loftArea</t>
        </is>
      </c>
      <c r="B129" s="13" t="inlineStr">
        <is>
          <t>Voetafdruk vlakke graanopslag</t>
        </is>
      </c>
      <c r="C129" s="13" t="inlineStr">
        <is>
          <t>m2</t>
        </is>
      </c>
      <c r="D129" s="95" t="n">
        <v>41086.09979999949</v>
      </c>
      <c r="E129" s="85">
        <f>$D129</f>
        <v/>
      </c>
      <c r="F129" s="85">
        <f>$D129</f>
        <v/>
      </c>
      <c r="G129" s="13" t="inlineStr">
        <is>
          <t>Gemeten DWG</t>
        </is>
      </c>
      <c r="H129" s="13" t="inlineStr">
        <is>
          <t>353; binnen hoofdperceel</t>
        </is>
      </c>
    </row>
    <row r="130" ht="36" customHeight="1">
      <c r="A130" s="14" t="inlineStr">
        <is>
          <t>loftHeight</t>
        </is>
      </c>
      <c r="B130" s="13" t="inlineStr">
        <is>
          <t>Bruikbare hoogte opslagloods</t>
        </is>
      </c>
      <c r="C130" s="13" t="inlineStr">
        <is>
          <t>m</t>
        </is>
      </c>
      <c r="D130" s="101" t="n">
        <v>6</v>
      </c>
      <c r="E130" s="98">
        <f>$D130</f>
        <v/>
      </c>
      <c r="F130" s="98">
        <f>$D130</f>
        <v/>
      </c>
      <c r="G130" s="13" t="inlineStr">
        <is>
          <t>Nog invullen</t>
        </is>
      </c>
      <c r="H130" s="13" t="inlineStr">
        <is>
          <t>Aanname: stortgoed in loods tot 6 m bruikbare hoogte (te bevestigen met operator)</t>
        </is>
      </c>
    </row>
    <row r="131" ht="36" customHeight="1">
      <c r="A131" s="14" t="inlineStr">
        <is>
          <t>loftUse</t>
        </is>
      </c>
      <c r="B131" s="13" t="inlineStr">
        <is>
          <t>Bruikbaar aandeel loodsvloer</t>
        </is>
      </c>
      <c r="C131" s="13" t="inlineStr">
        <is>
          <t>deel</t>
        </is>
      </c>
      <c r="D131" s="102" t="n">
        <v>0.6</v>
      </c>
      <c r="E131" s="100">
        <f>$D131</f>
        <v/>
      </c>
      <c r="F131" s="100">
        <f>$D131</f>
        <v/>
      </c>
      <c r="G131" s="13" t="inlineStr">
        <is>
          <t>Nog invullen</t>
        </is>
      </c>
      <c r="H131" s="13" t="inlineStr">
        <is>
          <t>Aanname: 60% van de loodsvloer bruikbaar voor opslag (rest rijpaden, transportband)</t>
        </is>
      </c>
    </row>
    <row r="132" ht="36" customHeight="1">
      <c r="A132" s="14" t="inlineStr">
        <is>
          <t>stsDrawn</t>
        </is>
      </c>
      <c r="B132" s="13" t="inlineStr">
        <is>
          <t>STS-kranen getekend in eindfase</t>
        </is>
      </c>
      <c r="C132" s="13" t="inlineStr">
        <is>
          <t>aantal</t>
        </is>
      </c>
      <c r="D132" s="99" t="n">
        <v>20</v>
      </c>
      <c r="E132" s="83">
        <f>$D132</f>
        <v/>
      </c>
      <c r="F132" s="83">
        <f>$D132</f>
        <v/>
      </c>
      <c r="G132" s="13" t="inlineStr">
        <is>
          <t>Geteld in DWG</t>
        </is>
      </c>
      <c r="H132" s="13" t="inlineStr">
        <is>
          <t>20 gelijke kraansymbolen; inzet 6/12/20 blijft gefaseerde rekenaanname</t>
        </is>
      </c>
    </row>
    <row r="133" ht="36" customHeight="1">
      <c r="A133" s="14" t="inlineStr">
        <is>
          <t>tankCircles</t>
        </is>
      </c>
      <c r="B133" s="13" t="inlineStr">
        <is>
          <t>Tankcirkels hoofdlaag</t>
        </is>
      </c>
      <c r="C133" s="13" t="inlineStr">
        <is>
          <t>aantal</t>
        </is>
      </c>
      <c r="D133" s="99" t="n">
        <v>4</v>
      </c>
      <c r="E133" s="83">
        <f>$D133</f>
        <v/>
      </c>
      <c r="F133" s="83">
        <f>$D133</f>
        <v/>
      </c>
      <c r="G133" s="13" t="inlineStr">
        <is>
          <t>Geteld in DWG</t>
        </is>
      </c>
      <c r="H133" s="13" t="inlineStr">
        <is>
          <t>221 / 223 / 225 / 227</t>
        </is>
      </c>
    </row>
    <row r="134" ht="36" customHeight="1">
      <c r="A134" s="14" t="inlineStr">
        <is>
          <t>tankDetails</t>
        </is>
      </c>
      <c r="B134" s="13" t="inlineStr">
        <is>
          <t>Uitgewerkte tankopstellingen</t>
        </is>
      </c>
      <c r="C134" s="13" t="inlineStr">
        <is>
          <t>aantal</t>
        </is>
      </c>
      <c r="D134" s="99" t="n">
        <v>3</v>
      </c>
      <c r="E134" s="83">
        <f>$D134</f>
        <v/>
      </c>
      <c r="F134" s="83">
        <f>$D134</f>
        <v/>
      </c>
      <c r="G134" s="13" t="inlineStr">
        <is>
          <t>Geteld in DWG</t>
        </is>
      </c>
      <c r="H134" s="13" t="inlineStr">
        <is>
          <t>38C / 390 / 394 met binnencontouren</t>
        </is>
      </c>
    </row>
    <row r="135" ht="36" customHeight="1">
      <c r="A135" s="14" t="inlineStr">
        <is>
          <t>jetLen</t>
        </is>
      </c>
      <c r="B135" s="13" t="inlineStr">
        <is>
          <t>LNG-ligplaatsenvelop lengte</t>
        </is>
      </c>
      <c r="C135" s="13" t="inlineStr">
        <is>
          <t>m</t>
        </is>
      </c>
      <c r="D135" s="95" t="n">
        <v>400</v>
      </c>
      <c r="E135" s="85">
        <f>$D135</f>
        <v/>
      </c>
      <c r="F135" s="85">
        <f>$D135</f>
        <v/>
      </c>
      <c r="G135" s="13" t="inlineStr">
        <is>
          <t>Gemeten DWG</t>
        </is>
      </c>
      <c r="H135" s="13" t="inlineStr">
        <is>
          <t>231; geen gemeten kadefront</t>
        </is>
      </c>
    </row>
    <row r="136" ht="36" customHeight="1">
      <c r="A136" s="14" t="inlineStr">
        <is>
          <t>jetWidth</t>
        </is>
      </c>
      <c r="B136" s="13" t="inlineStr">
        <is>
          <t>LNG-ligplaatsenvelop breedte</t>
        </is>
      </c>
      <c r="C136" s="13" t="inlineStr">
        <is>
          <t>m</t>
        </is>
      </c>
      <c r="D136" s="95" t="n">
        <v>120</v>
      </c>
      <c r="E136" s="85">
        <f>$D136</f>
        <v/>
      </c>
      <c r="F136" s="85">
        <f>$D136</f>
        <v/>
      </c>
      <c r="G136" s="13" t="inlineStr">
        <is>
          <t>Gemeten DWG</t>
        </is>
      </c>
      <c r="H136" s="13" t="inlineStr">
        <is>
          <t>231</t>
        </is>
      </c>
    </row>
    <row r="137" ht="36" customHeight="1">
      <c r="A137" s="14" t="inlineStr">
        <is>
          <t>regasN</t>
        </is>
      </c>
      <c r="B137" s="13" t="inlineStr">
        <is>
          <t>Hervergassingseenheden</t>
        </is>
      </c>
      <c r="C137" s="13" t="inlineStr">
        <is>
          <t>aantal</t>
        </is>
      </c>
      <c r="D137" s="99" t="n">
        <v>4</v>
      </c>
      <c r="E137" s="83">
        <f>$D137</f>
        <v/>
      </c>
      <c r="F137" s="83">
        <f>$D137</f>
        <v/>
      </c>
      <c r="G137" s="13" t="inlineStr">
        <is>
          <t>Tekst in DWG</t>
        </is>
      </c>
      <c r="H137" s="13" t="inlineStr">
        <is>
          <t>622 / 8xx: 4 x 33%</t>
        </is>
      </c>
    </row>
    <row r="138" ht="36" customHeight="1">
      <c r="A138" s="14" t="inlineStr">
        <is>
          <t>regasShare</t>
        </is>
      </c>
      <c r="B138" s="13" t="inlineStr">
        <is>
          <t>Nominaal aandeel per regas-eenheid</t>
        </is>
      </c>
      <c r="C138" s="13" t="inlineStr">
        <is>
          <t>deel</t>
        </is>
      </c>
      <c r="D138" s="103" t="n">
        <v>0.33</v>
      </c>
      <c r="E138" s="84">
        <f>$D138</f>
        <v/>
      </c>
      <c r="F138" s="84">
        <f>$D138</f>
        <v/>
      </c>
      <c r="G138" s="13" t="inlineStr">
        <is>
          <t>Tekst in DWG</t>
        </is>
      </c>
      <c r="H138" s="13" t="inlineStr">
        <is>
          <t>Afgerond label; absolute capaciteit niet gegeven</t>
        </is>
      </c>
    </row>
    <row r="139" ht="36" customHeight="1">
      <c r="A139" s="14" t="inlineStr">
        <is>
          <t>regasUnit</t>
        </is>
      </c>
      <c r="B139" s="13" t="inlineStr">
        <is>
          <t>Capaciteit per regas-eenheid</t>
        </is>
      </c>
      <c r="C139" s="13" t="inlineStr">
        <is>
          <t>m3 LNG/uur</t>
        </is>
      </c>
      <c r="D139" s="98" t="n"/>
      <c r="E139" s="98" t="n"/>
      <c r="F139" s="98" t="n"/>
      <c r="G139" s="13" t="inlineStr">
        <is>
          <t>Nog invullen</t>
        </is>
      </c>
      <c r="H139" s="13" t="inlineStr">
        <is>
          <t>LNG-equivalente capaciteit, niet Nm3 gas per uur</t>
        </is>
      </c>
    </row>
    <row r="140" ht="36" customHeight="1">
      <c r="A140" s="14" t="inlineStr">
        <is>
          <t>railN</t>
        </is>
      </c>
      <c r="B140" s="13" t="inlineStr">
        <is>
          <t>Containeropstelsporen</t>
        </is>
      </c>
      <c r="C140" s="13" t="inlineStr">
        <is>
          <t>aantal</t>
        </is>
      </c>
      <c r="D140" s="99" t="n">
        <v>5</v>
      </c>
      <c r="E140" s="83">
        <f>$D140</f>
        <v/>
      </c>
      <c r="F140" s="83">
        <f>$D140</f>
        <v/>
      </c>
      <c r="G140" s="13" t="inlineStr">
        <is>
          <t>Geteld in DWG</t>
        </is>
      </c>
      <c r="H140" s="13" t="inlineStr">
        <is>
          <t>32C t/m 330</t>
        </is>
      </c>
    </row>
    <row r="141" ht="36" customHeight="1">
      <c r="A141" s="14" t="inlineStr">
        <is>
          <t>railLen</t>
        </is>
      </c>
      <c r="B141" s="13" t="inlineStr">
        <is>
          <t>Lengte containeropstelspoor</t>
        </is>
      </c>
      <c r="C141" s="13" t="inlineStr">
        <is>
          <t>m</t>
        </is>
      </c>
      <c r="D141" s="95" t="n">
        <v>1300</v>
      </c>
      <c r="E141" s="85">
        <f>$D141</f>
        <v/>
      </c>
      <c r="F141" s="85">
        <f>$D141</f>
        <v/>
      </c>
      <c r="G141" s="13" t="inlineStr">
        <is>
          <t>Gemeten DWG</t>
        </is>
      </c>
      <c r="H141" s="13" t="inlineStr">
        <is>
          <t>32C t/m 330; per spoor</t>
        </is>
      </c>
    </row>
    <row r="142" ht="36" customHeight="1">
      <c r="A142" s="14" t="inlineStr">
        <is>
          <t>grainRailN</t>
        </is>
      </c>
      <c r="B142" s="13" t="inlineStr">
        <is>
          <t>Graanopstelsporen</t>
        </is>
      </c>
      <c r="C142" s="13" t="inlineStr">
        <is>
          <t>aantal</t>
        </is>
      </c>
      <c r="D142" s="99" t="n">
        <v>2</v>
      </c>
      <c r="E142" s="83">
        <f>$D142</f>
        <v/>
      </c>
      <c r="F142" s="83">
        <f>$D142</f>
        <v/>
      </c>
      <c r="G142" s="13" t="inlineStr">
        <is>
          <t>Geteld in DWG</t>
        </is>
      </c>
      <c r="H142" s="13" t="inlineStr">
        <is>
          <t>365 / 366</t>
        </is>
      </c>
    </row>
    <row r="143" ht="36" customHeight="1">
      <c r="A143" s="14" t="inlineStr">
        <is>
          <t>grainRailLen</t>
        </is>
      </c>
      <c r="B143" s="13" t="inlineStr">
        <is>
          <t>Lengte graanopstelspoor</t>
        </is>
      </c>
      <c r="C143" s="13" t="inlineStr">
        <is>
          <t>m</t>
        </is>
      </c>
      <c r="D143" s="95" t="n">
        <v>1404.9</v>
      </c>
      <c r="E143" s="85">
        <f>$D143</f>
        <v/>
      </c>
      <c r="F143" s="85">
        <f>$D143</f>
        <v/>
      </c>
      <c r="G143" s="13" t="inlineStr">
        <is>
          <t>Gemeten DWG</t>
        </is>
      </c>
      <c r="H143" s="13" t="inlineStr">
        <is>
          <t>365 / 366, afgerond op 0,1 m</t>
        </is>
      </c>
    </row>
    <row r="144" ht="36" customHeight="1">
      <c r="A144" s="14" t="inlineStr">
        <is>
          <t>gateIn</t>
        </is>
      </c>
      <c r="B144" s="13" t="inlineStr">
        <is>
          <t>Gate inkomende posities</t>
        </is>
      </c>
      <c r="C144" s="13" t="inlineStr">
        <is>
          <t>aantal</t>
        </is>
      </c>
      <c r="D144" s="99" t="n">
        <v>10</v>
      </c>
      <c r="E144" s="83">
        <f>$D144</f>
        <v/>
      </c>
      <c r="F144" s="83">
        <f>$D144</f>
        <v/>
      </c>
      <c r="G144" s="13" t="inlineStr">
        <is>
          <t>Tekst in DWG</t>
        </is>
      </c>
      <c r="H144" s="13" t="inlineStr">
        <is>
          <t>Gate 10 in + 10 uit; piekuurcapaciteit niet aangetoond</t>
        </is>
      </c>
    </row>
    <row r="145" ht="36" customHeight="1">
      <c r="A145" s="14" t="inlineStr">
        <is>
          <t>gateOut</t>
        </is>
      </c>
      <c r="B145" s="13" t="inlineStr">
        <is>
          <t>Gate uitgaande posities</t>
        </is>
      </c>
      <c r="C145" s="13" t="inlineStr">
        <is>
          <t>aantal</t>
        </is>
      </c>
      <c r="D145" s="99" t="n">
        <v>10</v>
      </c>
      <c r="E145" s="83">
        <f>$D145</f>
        <v/>
      </c>
      <c r="F145" s="83">
        <f>$D145</f>
        <v/>
      </c>
      <c r="G145" s="13" t="inlineStr">
        <is>
          <t>Tekst in DWG</t>
        </is>
      </c>
      <c r="H145" s="13" t="inlineStr">
        <is>
          <t>Gate 10 in + 10 uit</t>
        </is>
      </c>
    </row>
    <row r="146" ht="36" customHeight="1">
      <c r="A146" s="14" t="inlineStr">
        <is>
          <t>basinGross</t>
        </is>
      </c>
      <c r="B146" s="13" t="inlineStr">
        <is>
          <t>Nieuwe hoofdkom bruto</t>
        </is>
      </c>
      <c r="C146" s="13" t="inlineStr">
        <is>
          <t>m2</t>
        </is>
      </c>
      <c r="D146" s="101" t="n">
        <v>806595</v>
      </c>
      <c r="E146" s="85">
        <f>$D146</f>
        <v/>
      </c>
      <c r="F146" s="85">
        <f>$D146</f>
        <v/>
      </c>
      <c r="G146" s="13" t="inlineStr">
        <is>
          <t>Gemeten DWG</t>
        </is>
      </c>
      <c r="H146" s="13" t="inlineStr">
        <is>
          <t>Hoofdbekken incl. zwaaiplaats D 670 m (Haven_DO v8.3, polygoon HV-BAGGER "Hoofdbekken -18,20"); was 769.413 m2 (oudere kom)</t>
        </is>
      </c>
    </row>
    <row r="147" ht="36" customHeight="1">
      <c r="A147" s="14" t="inlineStr">
        <is>
          <t>basinOverlap</t>
        </is>
      </c>
      <c r="B147" s="13" t="inlineStr">
        <is>
          <t>Overlap nieuwe kom met voorhaven</t>
        </is>
      </c>
      <c r="C147" s="13" t="inlineStr">
        <is>
          <t>m2</t>
        </is>
      </c>
      <c r="D147" s="101" t="n">
        <v>93149</v>
      </c>
      <c r="E147" s="85">
        <f>$D147</f>
        <v/>
      </c>
      <c r="F147" s="85">
        <f>$D147</f>
        <v/>
      </c>
      <c r="G147" s="13" t="inlineStr">
        <is>
          <t>Geometrische bewerking</t>
        </is>
      </c>
      <c r="H147" s="13" t="inlineStr">
        <is>
          <t>Overlap hoofdbekken met "Voorhaven + toegang" (v8.3); één keer aftrekken</t>
        </is>
      </c>
    </row>
    <row r="148" ht="31" customHeight="1">
      <c r="A148" s="9" t="n"/>
      <c r="B148" s="13" t="inlineStr">
        <is>
          <t>Netto parkeervak per auto (aangewezen vakken)</t>
        </is>
      </c>
      <c r="C148" s="13" t="inlineStr">
        <is>
          <t>m2/auto</t>
        </is>
      </c>
      <c r="D148" s="101" t="n">
        <v>12.5</v>
      </c>
      <c r="E148" s="85">
        <f>$D148</f>
        <v/>
      </c>
      <c r="F148" s="85">
        <f>$D148</f>
        <v/>
      </c>
      <c r="G148" s="13" t="n"/>
      <c r="H148" s="13" t="inlineStr">
        <is>
          <t>2,5 x 5,0 m; de 7 parkeervakken zijn netto (rijpaden liggen ertussen). 30 m2 (D45) geldt voor het hele terrein incl. rijruimte</t>
        </is>
      </c>
    </row>
  </sheetData>
  <dataValidations count="1">
    <dataValidation sqref="D3" showDropDown="0" showInputMessage="0" showErrorMessage="0" allowBlank="0" type="whole" operator="between">
      <formula1>3</formula1>
      <formula2>4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8" customWidth="1" min="1" max="1"/>
    <col width="39" customWidth="1" min="2" max="2"/>
    <col width="18" customWidth="1" min="3" max="3"/>
    <col width="17" customWidth="1" min="4" max="4"/>
    <col width="17" customWidth="1" min="5" max="5"/>
    <col width="17" customWidth="1" min="6" max="6"/>
    <col width="24" customWidth="1" min="7" max="7"/>
    <col width="68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Nautiek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3" t="n"/>
      <c r="B3" s="3" t="inlineStr">
        <is>
          <t>Actieve LNG-tanks</t>
        </is>
      </c>
      <c r="C3" s="3" t="n"/>
      <c r="D3" s="82">
        <f>'Invoer'!$D$3</f>
        <v/>
      </c>
      <c r="E3" s="3" t="n"/>
      <c r="F3" s="3" t="n"/>
      <c r="G3" s="3" t="n"/>
      <c r="H3" s="3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27" customHeight="1">
      <c r="A5" s="8" t="inlineStr">
        <is>
          <t>Ref</t>
        </is>
      </c>
      <c r="B5" s="8" t="inlineStr">
        <is>
          <t>Breedtecomponent</t>
        </is>
      </c>
      <c r="C5" s="8" t="inlineStr">
        <is>
          <t>Factor B</t>
        </is>
      </c>
      <c r="D5" s="8" t="inlineStr">
        <is>
          <t>Meter</t>
        </is>
      </c>
      <c r="E5" s="8" t="inlineStr">
        <is>
          <t>Status</t>
        </is>
      </c>
      <c r="F5" s="8" t="inlineStr">
        <is>
          <t>Bron</t>
        </is>
      </c>
      <c r="G5" s="8" t="str"/>
      <c r="H5" s="8" t="inlineStr">
        <is>
          <t>Voorwaarde</t>
        </is>
      </c>
    </row>
    <row r="6" ht="35" customHeight="1">
      <c r="A6" s="9" t="inlineStr">
        <is>
          <t>N01</t>
        </is>
      </c>
      <c r="B6" s="13" t="inlineStr">
        <is>
          <t>Basismanoeuvreerbaan</t>
        </is>
      </c>
      <c r="C6" s="10" t="n">
        <v>1.5</v>
      </c>
      <c r="D6" s="85">
        <f>C6*Invoer!D62</f>
        <v/>
      </c>
      <c r="E6" s="85" t="n"/>
      <c r="F6" s="85" t="inlineStr">
        <is>
          <t>PIANC tab.3.4</t>
        </is>
      </c>
      <c r="G6" s="13" t="n"/>
      <c r="H6" s="13" t="inlineStr">
        <is>
          <t>Containerschip matig manoeuvreerbaar</t>
        </is>
      </c>
    </row>
    <row r="7" ht="35" customHeight="1">
      <c r="A7" s="9" t="inlineStr">
        <is>
          <t>N02</t>
        </is>
      </c>
      <c r="B7" s="13" t="inlineStr">
        <is>
          <t>Vaarsnelheid</t>
        </is>
      </c>
      <c r="C7" s="10" t="n">
        <v>0</v>
      </c>
      <c r="D7" s="85">
        <f>C7*Invoer!D62</f>
        <v/>
      </c>
      <c r="E7" s="85" t="n"/>
      <c r="F7" s="85" t="inlineStr">
        <is>
          <t>PIANC tab.3.5(a)</t>
        </is>
      </c>
      <c r="G7" s="13" t="n"/>
      <c r="H7" s="13" t="inlineStr">
        <is>
          <t>6kn, slow: geen aparte snelheidsbreedte</t>
        </is>
      </c>
    </row>
    <row r="8" ht="35" customHeight="1">
      <c r="A8" s="9" t="inlineStr">
        <is>
          <t>N03</t>
        </is>
      </c>
      <c r="B8" s="13" t="inlineStr">
        <is>
          <t>Dwarswind</t>
        </is>
      </c>
      <c r="C8" s="10" t="n">
        <v>0.6</v>
      </c>
      <c r="D8" s="85">
        <f>C8*Invoer!D62</f>
        <v/>
      </c>
      <c r="E8" s="85" t="n"/>
      <c r="F8" s="85" t="inlineStr">
        <is>
          <t>PIANC tab.3.5(b)</t>
        </is>
      </c>
      <c r="G8" s="13" t="n"/>
      <c r="H8" s="13" t="inlineStr">
        <is>
          <t>Moderate15-33kn; operationele grens nog toetsen</t>
        </is>
      </c>
    </row>
    <row r="9" ht="35" customHeight="1">
      <c r="A9" s="9" t="inlineStr">
        <is>
          <t>N04</t>
        </is>
      </c>
      <c r="B9" s="13" t="inlineStr">
        <is>
          <t>Dwarsstroom</t>
        </is>
      </c>
      <c r="C9" s="10" t="n">
        <v>1</v>
      </c>
      <c r="D9" s="85">
        <f>C9*Invoer!D62</f>
        <v/>
      </c>
      <c r="E9" s="85" t="n"/>
      <c r="F9" s="85" t="inlineStr">
        <is>
          <t>PIANC tab.3.5(c)</t>
        </is>
      </c>
      <c r="G9" s="13" t="n"/>
      <c r="H9" s="13" t="inlineStr">
        <is>
          <t>Moderate0,5-1,5kn; conservatieve onbevestigde klasse</t>
        </is>
      </c>
    </row>
    <row r="10" ht="35" customHeight="1">
      <c r="A10" s="9" t="inlineStr">
        <is>
          <t>N05</t>
        </is>
      </c>
      <c r="B10" s="13" t="inlineStr">
        <is>
          <t>Langsstroom</t>
        </is>
      </c>
      <c r="C10" s="10" t="n">
        <v>0</v>
      </c>
      <c r="D10" s="85">
        <f>C10*Invoer!D62</f>
        <v/>
      </c>
      <c r="E10" s="85" t="n"/>
      <c r="F10" s="85" t="inlineStr">
        <is>
          <t>PIANC tab.3.5(d)</t>
        </is>
      </c>
      <c r="G10" s="13" t="n"/>
      <c r="H10" s="13" t="inlineStr">
        <is>
          <t>Laag &lt;1,5kn aangenomen</t>
        </is>
      </c>
    </row>
    <row r="11" ht="35" customHeight="1">
      <c r="A11" s="9" t="inlineStr">
        <is>
          <t>N06</t>
        </is>
      </c>
      <c r="B11" s="13" t="inlineStr">
        <is>
          <t>Golven dwars / schuin achter</t>
        </is>
      </c>
      <c r="C11" s="10" t="n">
        <v>0.5</v>
      </c>
      <c r="D11" s="85">
        <f>C11*Invoer!D62</f>
        <v/>
      </c>
      <c r="E11" s="85" t="n"/>
      <c r="F11" s="85" t="inlineStr">
        <is>
          <t>PIANC tab.3.5(e)</t>
        </is>
      </c>
      <c r="G11" s="13" t="n"/>
      <c r="H11" s="13" t="inlineStr">
        <is>
          <t>Hs1-3m, richting nog vast te leggen</t>
        </is>
      </c>
    </row>
    <row r="12" ht="35" customHeight="1">
      <c r="A12" s="9" t="inlineStr">
        <is>
          <t>N07</t>
        </is>
      </c>
      <c r="B12" s="13" t="inlineStr">
        <is>
          <t>Navigatiehulpmiddelen</t>
        </is>
      </c>
      <c r="C12" s="10" t="n">
        <v>0</v>
      </c>
      <c r="D12" s="85">
        <f>C12*Invoer!D62</f>
        <v/>
      </c>
      <c r="E12" s="85" t="n"/>
      <c r="F12" s="85" t="inlineStr">
        <is>
          <t>PIANC tab.3.5(f)</t>
        </is>
      </c>
      <c r="G12" s="13" t="n"/>
      <c r="H12" s="13" t="inlineStr">
        <is>
          <t>Goede betonning, loodsen en DGPS voorzien</t>
        </is>
      </c>
    </row>
    <row r="13" ht="35" customHeight="1">
      <c r="A13" s="9" t="inlineStr">
        <is>
          <t>N08</t>
        </is>
      </c>
      <c r="B13" s="13" t="inlineStr">
        <is>
          <t>Bodemoppervlak</t>
        </is>
      </c>
      <c r="C13" s="27">
        <f>IF(D25/Invoer!D63&gt;=1.5,0,0.2)</f>
        <v/>
      </c>
      <c r="D13" s="85">
        <f>C13*Invoer!D62</f>
        <v/>
      </c>
      <c r="E13" s="85" t="n"/>
      <c r="F13" s="85" t="inlineStr">
        <is>
          <t>PIANC tab.3.5(g)</t>
        </is>
      </c>
      <c r="G13" s="13" t="n"/>
      <c r="H13" s="13" t="inlineStr">
        <is>
          <t>Conservatief hard/ruw; h&lt;1,5T</t>
        </is>
      </c>
    </row>
    <row r="14" ht="35" customHeight="1">
      <c r="A14" s="9" t="inlineStr">
        <is>
          <t>N09</t>
        </is>
      </c>
      <c r="B14" s="13" t="inlineStr">
        <is>
          <t>Relatieve waterdiepte</t>
        </is>
      </c>
      <c r="C14" s="27">
        <f>IF(D25/Invoer!D63&gt;=1.5,0,IF(D25/Invoer!D63&gt;=1.25,0.1,0.2))</f>
        <v/>
      </c>
      <c r="D14" s="85">
        <f>C14*Invoer!D62</f>
        <v/>
      </c>
      <c r="E14" s="85" t="n"/>
      <c r="F14" s="85" t="inlineStr">
        <is>
          <t>PIANC tab.3.5(h)</t>
        </is>
      </c>
      <c r="G14" s="13" t="n"/>
      <c r="H14" s="13" t="inlineStr">
        <is>
          <t>1,25 &lt;= h/T &lt;1,5 voor buitengeul</t>
        </is>
      </c>
    </row>
    <row r="15" ht="35" customHeight="1">
      <c r="A15" s="9" t="inlineStr">
        <is>
          <t>N10</t>
        </is>
      </c>
      <c r="B15" s="13" t="inlineStr">
        <is>
          <t>Oevermarge links</t>
        </is>
      </c>
      <c r="C15" s="10" t="n">
        <v>0.3</v>
      </c>
      <c r="D15" s="85">
        <f>C15*Invoer!D62</f>
        <v/>
      </c>
      <c r="E15" s="85" t="n"/>
      <c r="F15" s="85" t="inlineStr">
        <is>
          <t>PIANC tab.3.6</t>
        </is>
      </c>
      <c r="G15" s="13" t="n"/>
      <c r="H15" s="13" t="inlineStr">
        <is>
          <t>Talud/ondiepte, slow; geen harde verticale oever</t>
        </is>
      </c>
    </row>
    <row r="16" ht="35" customHeight="1">
      <c r="A16" s="9" t="inlineStr">
        <is>
          <t>N11</t>
        </is>
      </c>
      <c r="B16" s="13" t="inlineStr">
        <is>
          <t>Oevermarge rechts</t>
        </is>
      </c>
      <c r="C16" s="10" t="n">
        <v>0.3</v>
      </c>
      <c r="D16" s="85">
        <f>C16*Invoer!D62</f>
        <v/>
      </c>
      <c r="E16" s="85" t="n"/>
      <c r="F16" s="85" t="inlineStr">
        <is>
          <t>PIANC tab.3.6</t>
        </is>
      </c>
      <c r="G16" s="13" t="n"/>
      <c r="H16" s="13" t="inlineStr">
        <is>
          <t>Talud/ondiepte, slow; geen harde verticale oever</t>
        </is>
      </c>
    </row>
    <row r="17" ht="27" customHeight="1">
      <c r="A17" s="9" t="n"/>
      <c r="B17" s="13" t="n"/>
      <c r="C17" s="9" t="n"/>
      <c r="D17" s="85" t="n"/>
      <c r="E17" s="85" t="n"/>
      <c r="F17" s="85" t="n"/>
      <c r="G17" s="13" t="n"/>
      <c r="H17" s="13" t="n"/>
    </row>
    <row r="18" ht="27" customHeight="1">
      <c r="A18" s="9" t="n"/>
      <c r="B18" s="13" t="inlineStr">
        <is>
          <t>Som breedtefactoren</t>
        </is>
      </c>
      <c r="C18" s="9">
        <f>SUM(C6:C16)</f>
        <v/>
      </c>
      <c r="D18" s="85" t="n"/>
      <c r="E18" s="85" t="n"/>
      <c r="F18" s="85" t="n"/>
      <c r="G18" s="13" t="n"/>
      <c r="H18" s="13" t="n"/>
    </row>
    <row r="19" ht="27" customHeight="1">
      <c r="A19" s="9" t="n"/>
      <c r="B19" s="13" t="inlineStr">
        <is>
          <t>Benodigde rechte buitengeul</t>
        </is>
      </c>
      <c r="C19" s="9" t="inlineStr">
        <is>
          <t>m</t>
        </is>
      </c>
      <c r="D19" s="85">
        <f>C18*Invoer!D62</f>
        <v/>
      </c>
      <c r="E19" s="85" t="n"/>
      <c r="F19" s="85" t="n"/>
      <c r="G19" s="13" t="n"/>
      <c r="H19" s="13" t="n"/>
    </row>
    <row r="20" ht="27" customHeight="1">
      <c r="A20" s="9" t="n"/>
      <c r="B20" s="13" t="inlineStr">
        <is>
          <t>Getekende rechte geulbreedte</t>
        </is>
      </c>
      <c r="C20" s="9" t="inlineStr">
        <is>
          <t>m</t>
        </is>
      </c>
      <c r="D20" s="85">
        <f>'Invoer'!D93</f>
        <v/>
      </c>
      <c r="E20" s="85" t="n"/>
      <c r="F20" s="85" t="n"/>
      <c r="G20" s="13" t="n"/>
      <c r="H20" s="13" t="n"/>
    </row>
    <row r="21" ht="27" customHeight="1">
      <c r="A21" s="9" t="n"/>
      <c r="B21" s="13" t="n"/>
      <c r="C21" s="9" t="n"/>
      <c r="D21" s="85" t="n"/>
      <c r="E21" s="85" t="n"/>
      <c r="F21" s="85" t="n"/>
      <c r="G21" s="13" t="n"/>
      <c r="H21" s="13" t="n"/>
    </row>
    <row r="22" ht="27" customHeight="1">
      <c r="A22" s="23" t="inlineStr">
        <is>
          <t>Verticale maatvoering en manoeuvreren</t>
        </is>
      </c>
      <c r="B22" s="26" t="n"/>
      <c r="C22" s="23" t="n"/>
      <c r="D22" s="104" t="n"/>
      <c r="E22" s="104" t="n"/>
      <c r="F22" s="104" t="n"/>
      <c r="G22" s="26" t="n"/>
      <c r="H22" s="26" t="n"/>
    </row>
    <row r="23" ht="27" customHeight="1">
      <c r="A23" s="9" t="n"/>
      <c r="B23" s="13" t="n"/>
      <c r="C23" s="9" t="n"/>
      <c r="D23" s="85" t="n"/>
      <c r="E23" s="85" t="n"/>
      <c r="F23" s="85" t="n"/>
      <c r="G23" s="13" t="n"/>
      <c r="H23" s="13" t="n"/>
    </row>
    <row r="24" ht="27" customHeight="1">
      <c r="A24" s="9" t="inlineStr">
        <is>
          <t>N12</t>
        </is>
      </c>
      <c r="B24" s="13" t="inlineStr">
        <is>
          <t>Som benodigde diepte</t>
        </is>
      </c>
      <c r="C24" s="9" t="inlineStr">
        <is>
          <t>m</t>
        </is>
      </c>
      <c r="D24" s="85">
        <f>SUM(Invoer!D63,Invoer!D64,Invoer!D65,Invoer!D66,Invoer!D67,Invoer!D68,Invoer!D69)</f>
        <v/>
      </c>
      <c r="E24" s="85" t="n"/>
      <c r="F24" s="85" t="n"/>
      <c r="G24" s="13" t="n"/>
      <c r="H24" s="13" t="inlineStr">
        <is>
          <t>Alle componenten als invoer zichtbaar</t>
        </is>
      </c>
    </row>
    <row r="25" ht="27" customHeight="1">
      <c r="A25" s="9" t="inlineStr">
        <is>
          <t>N13</t>
        </is>
      </c>
      <c r="B25" s="13" t="inlineStr">
        <is>
          <t>Getekende hoofdgeuldiepte</t>
        </is>
      </c>
      <c r="C25" s="9" t="inlineStr">
        <is>
          <t>m MLWS</t>
        </is>
      </c>
      <c r="D25" s="85">
        <f>'Invoer'!D101</f>
        <v/>
      </c>
      <c r="E25" s="85" t="n"/>
      <c r="F25" s="85" t="n"/>
      <c r="G25" s="13" t="n"/>
      <c r="H25" s="13" t="inlineStr">
        <is>
          <t>−18,20 m als tekst in DWG; verticale datum nog controleren</t>
        </is>
      </c>
    </row>
    <row r="26" ht="27" customHeight="1">
      <c r="A26" s="9" t="inlineStr">
        <is>
          <t>N14</t>
        </is>
      </c>
      <c r="B26" s="13" t="inlineStr">
        <is>
          <t>Verhouding h/T</t>
        </is>
      </c>
      <c r="C26" s="9" t="inlineStr">
        <is>
          <t>-</t>
        </is>
      </c>
      <c r="D26" s="105">
        <f>D25/Invoer!D63</f>
        <v/>
      </c>
      <c r="E26" s="85" t="n"/>
      <c r="F26" s="85" t="n"/>
      <c r="G26" s="13" t="n"/>
      <c r="H26" s="13" t="inlineStr">
        <is>
          <t>Controle op gekozen dieptefactor</t>
        </is>
      </c>
    </row>
    <row r="27" ht="27" customHeight="1">
      <c r="A27" s="9" t="inlineStr">
        <is>
          <t>N15</t>
        </is>
      </c>
      <c r="B27" s="13" t="inlineStr">
        <is>
          <t>Vereiste draaicirkel</t>
        </is>
      </c>
      <c r="C27" s="9" t="inlineStr">
        <is>
          <t>m</t>
        </is>
      </c>
      <c r="D27" s="85">
        <f>Invoer!D71*Invoer!D61</f>
        <v/>
      </c>
      <c r="E27" s="85" t="n"/>
      <c r="F27" s="85" t="n"/>
      <c r="G27" s="13" t="n"/>
      <c r="H27" s="13" t="inlineStr">
        <is>
          <t>Projectcriterium, geen universele richtlijn</t>
        </is>
      </c>
    </row>
    <row r="28" ht="27" customHeight="1">
      <c r="A28" s="9" t="inlineStr">
        <is>
          <t>N16</t>
        </is>
      </c>
      <c r="B28" s="13" t="inlineStr">
        <is>
          <t>Gereserveerde draaicirkel</t>
        </is>
      </c>
      <c r="C28" s="9" t="inlineStr">
        <is>
          <t>m</t>
        </is>
      </c>
      <c r="D28" s="85">
        <f>Invoer!D72</f>
        <v/>
      </c>
      <c r="E28" s="85" t="n"/>
      <c r="F28" s="85" t="n"/>
      <c r="G28" s="13" t="n"/>
      <c r="H28" s="13" t="inlineStr">
        <is>
          <t>Buitenste draaikom 1E6; binnenste zwaaiplaats apart hieronder</t>
        </is>
      </c>
    </row>
    <row r="29" ht="27" customHeight="1">
      <c r="A29" s="9" t="inlineStr">
        <is>
          <t>N17</t>
        </is>
      </c>
      <c r="B29" s="13" t="inlineStr">
        <is>
          <t>Havenmond</t>
        </is>
      </c>
      <c r="C29" s="9" t="inlineStr">
        <is>
          <t>m</t>
        </is>
      </c>
      <c r="D29" s="85">
        <f>Invoer!D73</f>
        <v/>
      </c>
      <c r="E29" s="85" t="n"/>
      <c r="F29" s="85" t="n"/>
      <c r="G29" s="13" t="n"/>
      <c r="H29" s="13" t="inlineStr">
        <is>
          <t>Tussen obstakels op bodemniveau toetsen</t>
        </is>
      </c>
    </row>
    <row r="30" ht="27" customHeight="1">
      <c r="A30" s="9" t="inlineStr">
        <is>
          <t>N18</t>
        </is>
      </c>
      <c r="B30" s="13" t="inlineStr">
        <is>
          <t>Marge kanaalbreedte</t>
        </is>
      </c>
      <c r="C30" s="9" t="inlineStr">
        <is>
          <t>m</t>
        </is>
      </c>
      <c r="D30" s="85">
        <f>D20-D19</f>
        <v/>
      </c>
      <c r="E30" s="85" t="n"/>
      <c r="F30" s="85" t="n"/>
      <c r="G30" s="13" t="n"/>
      <c r="H30" s="13" t="inlineStr">
        <is>
          <t>Geen extra veiligheidsklasse</t>
        </is>
      </c>
    </row>
    <row r="31" ht="27" customHeight="1">
      <c r="A31" s="9" t="inlineStr">
        <is>
          <t>N19</t>
        </is>
      </c>
      <c r="B31" s="13" t="inlineStr">
        <is>
          <t>Kanaallengte</t>
        </is>
      </c>
      <c r="C31" s="9" t="inlineStr">
        <is>
          <t>m</t>
        </is>
      </c>
      <c r="D31" s="92">
        <f>'Invoer'!D97</f>
        <v/>
      </c>
      <c r="E31" s="85" t="n"/>
      <c r="F31" s="85" t="n"/>
      <c r="G31" s="13" t="n"/>
      <c r="H31" s="13" t="inlineStr">
        <is>
          <t>As 1E5; exclusief de twee damhartlijnen op dezelfde laag</t>
        </is>
      </c>
    </row>
    <row r="32" ht="27" customHeight="1">
      <c r="A32" s="9" t="inlineStr">
        <is>
          <t>N20</t>
        </is>
      </c>
      <c r="B32" s="13" t="inlineStr">
        <is>
          <t>Indicatieve vaartijd enkele reis</t>
        </is>
      </c>
      <c r="C32" s="9" t="inlineStr">
        <is>
          <t>uur</t>
        </is>
      </c>
      <c r="D32" s="85">
        <f>IF(COUNT(D31)=1,D31/(Invoer!D74*1852),"")</f>
        <v/>
      </c>
      <c r="E32" s="85" t="n"/>
      <c r="F32" s="85" t="n"/>
      <c r="G32" s="13" t="n"/>
      <c r="H32" s="13" t="inlineStr">
        <is>
          <t>Vaartijd exclusief scheiding, sleepboten en wachten</t>
        </is>
      </c>
    </row>
    <row r="33" ht="27" customHeight="1">
      <c r="A33" s="9" t="n"/>
      <c r="B33" s="13" t="n"/>
      <c r="C33" s="9" t="n"/>
      <c r="D33" s="85" t="n"/>
      <c r="E33" s="85" t="n"/>
      <c r="F33" s="85" t="n"/>
      <c r="G33" s="13" t="n"/>
      <c r="H33" s="13" t="n"/>
    </row>
    <row r="34" ht="27" customHeight="1">
      <c r="A34" s="9" t="n"/>
      <c r="B34" s="13" t="n"/>
      <c r="C34" s="9" t="n"/>
      <c r="D34" s="85" t="n"/>
      <c r="E34" s="85" t="n"/>
      <c r="F34" s="85" t="n"/>
      <c r="G34" s="13" t="n"/>
      <c r="H34" s="13" t="n"/>
    </row>
    <row r="35" ht="27" customHeight="1">
      <c r="A35" s="23" t="inlineStr">
        <is>
          <t>Gevoeligheid bij dezelfde omstandigheden</t>
        </is>
      </c>
      <c r="B35" s="26" t="n"/>
      <c r="C35" s="23" t="n"/>
      <c r="D35" s="104" t="n"/>
      <c r="E35" s="104" t="n"/>
      <c r="F35" s="104" t="n"/>
      <c r="G35" s="26" t="n"/>
      <c r="H35" s="26" t="n"/>
    </row>
    <row r="36" ht="27" customHeight="1">
      <c r="A36" s="8" t="inlineStr">
        <is>
          <t>Ref</t>
        </is>
      </c>
      <c r="B36" s="8" t="inlineStr">
        <is>
          <t>Schipscenario</t>
        </is>
      </c>
      <c r="C36" s="8" t="inlineStr">
        <is>
          <t>Breedte m</t>
        </is>
      </c>
      <c r="D36" s="106" t="inlineStr">
        <is>
          <t>Basisfactor</t>
        </is>
      </c>
      <c r="E36" s="106" t="inlineStr">
        <is>
          <t>Extra factor</t>
        </is>
      </c>
      <c r="F36" s="106" t="inlineStr">
        <is>
          <t>Benodigde m</t>
        </is>
      </c>
      <c r="G36" s="8" t="inlineStr">
        <is>
          <t>Status</t>
        </is>
      </c>
      <c r="H36" s="13" t="n"/>
    </row>
    <row r="37" ht="27" customHeight="1">
      <c r="A37" s="9" t="inlineStr">
        <is>
          <t>S1</t>
        </is>
      </c>
      <c r="B37" s="13" t="inlineStr">
        <is>
          <t>Reguliere container</t>
        </is>
      </c>
      <c r="C37" s="9" t="n">
        <v>48.2</v>
      </c>
      <c r="D37" s="85" t="n">
        <v>1.5</v>
      </c>
      <c r="E37" s="85" t="n">
        <v>0</v>
      </c>
      <c r="F37" s="85">
        <f>C37*($C$18-$C$6+D37+E37)</f>
        <v/>
      </c>
      <c r="G37" s="13">
        <f>IF(F37&lt;=$D$20,"BINNEN BREEDTE","EXTRA BREEDTE")</f>
        <v/>
      </c>
      <c r="H37" s="13" t="n"/>
    </row>
    <row r="38" ht="27" customHeight="1">
      <c r="A38" s="9" t="inlineStr">
        <is>
          <t>S2</t>
        </is>
      </c>
      <c r="B38" s="13" t="inlineStr">
        <is>
          <t>GASLOG GREECE</t>
        </is>
      </c>
      <c r="C38" s="9" t="n">
        <v>45.8</v>
      </c>
      <c r="D38" s="85" t="n">
        <v>1.5</v>
      </c>
      <c r="E38" s="85" t="n">
        <v>0</v>
      </c>
      <c r="F38" s="85">
        <f>C38*($C$18-$C$6+D38+E38)</f>
        <v/>
      </c>
      <c r="G38" s="13">
        <f>IF(F38&lt;=$D$20,"BINNEN BREEDTE","EXTRA BREEDTE")</f>
        <v/>
      </c>
      <c r="H38" s="13" t="n"/>
    </row>
    <row r="39" ht="27" customHeight="1">
      <c r="A39" s="9" t="inlineStr">
        <is>
          <t>S3</t>
        </is>
      </c>
      <c r="B39" s="13" t="inlineStr">
        <is>
          <t>KIRA OLDENDORFF</t>
        </is>
      </c>
      <c r="C39" s="9" t="n">
        <v>32.26</v>
      </c>
      <c r="D39" s="85" t="n">
        <v>1.8</v>
      </c>
      <c r="E39" s="85" t="n">
        <v>0</v>
      </c>
      <c r="F39" s="85">
        <f>C39*($C$18-$C$6+D39+E39)</f>
        <v/>
      </c>
      <c r="G39" s="13">
        <f>IF(F39&lt;=$D$20,"BINNEN BREEDTE","EXTRA BREEDTE")</f>
        <v/>
      </c>
      <c r="H39" s="13" t="n"/>
    </row>
    <row r="40" ht="27" customHeight="1">
      <c r="A40" s="9" t="inlineStr">
        <is>
          <t>S4</t>
        </is>
      </c>
      <c r="B40" s="13" t="inlineStr">
        <is>
          <t>BYD SHENZHEN</t>
        </is>
      </c>
      <c r="C40" s="9" t="n">
        <v>37.7</v>
      </c>
      <c r="D40" s="85" t="n">
        <v>1.5</v>
      </c>
      <c r="E40" s="85" t="n">
        <v>0.2</v>
      </c>
      <c r="F40" s="85">
        <f>C40*($C$18-$C$6+D40+E40)</f>
        <v/>
      </c>
      <c r="G40" s="13">
        <f>IF(F40&lt;=$D$20,"BINNEN BREEDTE","EXTRA BREEDTE")</f>
        <v/>
      </c>
      <c r="H40" s="13" t="n"/>
    </row>
    <row r="41" ht="27" customHeight="1">
      <c r="A41" s="9" t="inlineStr">
        <is>
          <t>S5</t>
        </is>
      </c>
      <c r="B41" s="13" t="inlineStr">
        <is>
          <t>MOZAH grensscenario</t>
        </is>
      </c>
      <c r="C41" s="9" t="n">
        <v>53.8</v>
      </c>
      <c r="D41" s="85" t="n">
        <v>1.5</v>
      </c>
      <c r="E41" s="85" t="n">
        <v>0</v>
      </c>
      <c r="F41" s="85">
        <f>C41*($C$18-$C$6+D41+E41)</f>
        <v/>
      </c>
      <c r="G41" s="13">
        <f>IF(F41&lt;=$D$20,"BINNEN BREEDTE","EXTRA BREEDTE")</f>
        <v/>
      </c>
      <c r="H41" s="13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</row>
    <row r="44" ht="25" customHeight="1">
      <c r="A44" s="42" t="inlineStr">
        <is>
          <t>Aanvullende nautische maten uit de tekening</t>
        </is>
      </c>
      <c r="B44" s="43" t="n"/>
      <c r="C44" s="43" t="n"/>
      <c r="D44" s="87" t="n"/>
      <c r="E44" s="87" t="n"/>
      <c r="F44" s="87" t="n"/>
      <c r="G44" s="43" t="n"/>
      <c r="H44" s="43" t="n"/>
    </row>
    <row r="45" ht="31" customHeight="1">
      <c r="A45" s="9" t="n"/>
      <c r="B45" s="13" t="inlineStr">
        <is>
          <t>Binnenste zwaaiplaats</t>
        </is>
      </c>
      <c r="C45" s="13" t="inlineStr">
        <is>
          <t>m</t>
        </is>
      </c>
      <c r="D45" s="85">
        <f>'Invoer'!D100</f>
        <v/>
      </c>
      <c r="E45" s="85" t="n"/>
      <c r="F45" s="85" t="n"/>
      <c r="G45" s="13" t="n"/>
      <c r="H45" s="13" t="inlineStr">
        <is>
          <t>1ED; afzonderlijk van buitenste draaikom</t>
        </is>
      </c>
    </row>
    <row r="46" ht="31" customHeight="1">
      <c r="A46" s="9" t="n"/>
      <c r="B46" s="13" t="inlineStr">
        <is>
          <t>Getekende bochtbreedte</t>
        </is>
      </c>
      <c r="C46" s="13" t="inlineStr">
        <is>
          <t>m</t>
        </is>
      </c>
      <c r="D46" s="85">
        <f>'Invoer'!D94</f>
        <v/>
      </c>
      <c r="E46" s="85" t="n"/>
      <c r="F46" s="85" t="n"/>
      <c r="G46" s="13" t="n"/>
      <c r="H46" s="13" t="inlineStr">
        <is>
          <t>40 m breder dan recht deel; nautische toets nog nodig</t>
        </is>
      </c>
    </row>
    <row r="47" ht="31" customHeight="1">
      <c r="A47" s="9" t="n"/>
      <c r="B47" s="13" t="inlineStr">
        <is>
          <t>Straal van de geulbocht</t>
        </is>
      </c>
      <c r="C47" s="13" t="inlineStr">
        <is>
          <t>m</t>
        </is>
      </c>
      <c r="D47" s="85">
        <f>'Invoer'!D95</f>
        <v/>
      </c>
      <c r="E47" s="85" t="n"/>
      <c r="F47" s="85" t="n"/>
      <c r="G47" s="13" t="n"/>
      <c r="H47" s="13" t="inlineStr">
        <is>
          <t>Gemeten asgeometrie</t>
        </is>
      </c>
    </row>
    <row r="48" ht="31" customHeight="1">
      <c r="A48" s="9" t="n"/>
      <c r="B48" s="13" t="inlineStr">
        <is>
          <t>Richtingsverandering</t>
        </is>
      </c>
      <c r="C48" s="13" t="inlineStr">
        <is>
          <t>graden</t>
        </is>
      </c>
      <c r="D48" s="85">
        <f>'Invoer'!D96</f>
        <v/>
      </c>
      <c r="E48" s="85" t="n"/>
      <c r="F48" s="85" t="n"/>
      <c r="G48" s="13" t="n"/>
      <c r="H48" s="13" t="inlineStr">
        <is>
          <t>Gemeten asgeometrie</t>
        </is>
      </c>
    </row>
    <row r="49" ht="31" customHeight="1">
      <c r="A49" s="9" t="n"/>
      <c r="B49" s="13" t="inlineStr">
        <is>
          <t>Stopweg binnen de havenmond</t>
        </is>
      </c>
      <c r="C49" s="13" t="inlineStr">
        <is>
          <t>m</t>
        </is>
      </c>
      <c r="D49" s="85">
        <f>'Invoer'!D98</f>
        <v/>
      </c>
      <c r="E49" s="85" t="n"/>
      <c r="F49" s="85" t="n"/>
      <c r="G49" s="13" t="n"/>
      <c r="H49" s="13" t="inlineStr">
        <is>
          <t>Asdeel in voorhaven, niet extra bij geullengte optellen</t>
        </is>
      </c>
    </row>
    <row r="50" ht="31" customHeight="1">
      <c r="A50" s="9" t="n"/>
      <c r="B50" s="13" t="inlineStr">
        <is>
          <t>Geullengte buiten de mond</t>
        </is>
      </c>
      <c r="C50" s="13" t="inlineStr">
        <is>
          <t>m</t>
        </is>
      </c>
      <c r="D50" s="85">
        <f>D31-D49</f>
        <v/>
      </c>
      <c r="E50" s="85" t="n"/>
      <c r="F50" s="85" t="n"/>
      <c r="G50" s="13" t="n"/>
      <c r="H50" s="13" t="inlineStr">
        <is>
          <t>Van mond tot getekend geuleinde; aansluiting dieptecontour nog controleren</t>
        </is>
      </c>
    </row>
    <row r="51" ht="31" customHeight="1">
      <c r="A51" s="9" t="n"/>
      <c r="B51" s="13" t="inlineStr">
        <is>
          <t>Vaartijd buiten de mond</t>
        </is>
      </c>
      <c r="C51" s="13" t="inlineStr">
        <is>
          <t>uur</t>
        </is>
      </c>
      <c r="D51" s="85">
        <f>D50/('Invoer'!D74*1852)</f>
        <v/>
      </c>
      <c r="E51" s="85" t="n"/>
      <c r="F51" s="85" t="n"/>
      <c r="G51" s="13" t="n"/>
      <c r="H51" s="13" t="inlineStr">
        <is>
          <t>Alleen vaartijd bij dezelfde 6 knopen</t>
        </is>
      </c>
    </row>
    <row r="52" ht="31" customHeight="1">
      <c r="A52" s="9" t="n"/>
      <c r="B52" s="13" t="inlineStr">
        <is>
          <t>Binnenste diameter gedeeld door LOA</t>
        </is>
      </c>
      <c r="C52" s="13" t="inlineStr">
        <is>
          <t>-</t>
        </is>
      </c>
      <c r="D52" s="85">
        <f>D45/'Invoer'!D61</f>
        <v/>
      </c>
      <c r="E52" s="85" t="n"/>
      <c r="F52" s="85" t="n"/>
      <c r="G52" s="13" t="n"/>
      <c r="H52" s="13" t="inlineStr">
        <is>
          <t>Circa 2,0; eerder criterium is 2,1</t>
        </is>
      </c>
    </row>
    <row r="53" ht="31" customHeight="1">
      <c r="A53" s="9" t="n"/>
      <c r="B53" s="13" t="inlineStr">
        <is>
          <t>Marge binnenste kom tegen 2,1 LOA</t>
        </is>
      </c>
      <c r="C53" s="13" t="inlineStr">
        <is>
          <t>m</t>
        </is>
      </c>
      <c r="D53" s="85">
        <f>D45-D27</f>
        <v/>
      </c>
      <c r="E53" s="85" t="n"/>
      <c r="F53" s="85" t="n"/>
      <c r="G53" s="13" t="n"/>
      <c r="H53" s="13" t="inlineStr">
        <is>
          <t>Negatief betekent ander criterium of grotere kom nodig</t>
        </is>
      </c>
    </row>
    <row r="54" ht="46" customHeight="1">
      <c r="A54" s="9" t="n"/>
      <c r="B54" s="13" t="inlineStr">
        <is>
          <t>Toets binnenste zwaaiplaats</t>
        </is>
      </c>
      <c r="C54" s="13" t="inlineStr">
        <is>
          <t>-</t>
        </is>
      </c>
      <c r="D54" s="88">
        <f>IF(D53&gt;=0,"BINNEN EERDER CRITERIUM","KEUZE 2,0 LOA ONDERBOUWEN")</f>
        <v/>
      </c>
      <c r="E54" s="88" t="n"/>
      <c r="F54" s="88" t="n"/>
      <c r="G54" s="13" t="n"/>
      <c r="H54" s="13" t="inlineStr">
        <is>
          <t>Geen universele PIANC-minimumdiameter</t>
        </is>
      </c>
    </row>
    <row r="55" ht="31" customHeight="1">
      <c r="A55" s="9" t="n"/>
      <c r="B55" s="13" t="n"/>
      <c r="C55" s="13" t="n"/>
      <c r="D55" s="85" t="n"/>
      <c r="E55" s="85" t="n"/>
      <c r="F55" s="85" t="n"/>
      <c r="G55" s="13" t="n"/>
      <c r="H55" s="13" t="n"/>
    </row>
    <row r="56" ht="25" customHeight="1">
      <c r="A56" s="42" t="inlineStr">
        <is>
          <t>Diepte per route met de eerder gebruikte toeslagen</t>
        </is>
      </c>
      <c r="B56" s="43" t="n"/>
      <c r="C56" s="43" t="n"/>
      <c r="D56" s="87" t="n"/>
      <c r="E56" s="87" t="n"/>
      <c r="F56" s="87" t="n"/>
      <c r="G56" s="43" t="n"/>
      <c r="H56" s="43" t="n"/>
    </row>
    <row r="57" ht="32" customHeight="1">
      <c r="A57" s="49" t="inlineStr">
        <is>
          <t>Ref</t>
        </is>
      </c>
      <c r="B57" s="49" t="inlineStr">
        <is>
          <t>Route of terminal</t>
        </is>
      </c>
      <c r="C57" s="49" t="inlineStr">
        <is>
          <t>Diepgang m</t>
        </is>
      </c>
      <c r="D57" s="89" t="inlineStr">
        <is>
          <t>Getekend m</t>
        </is>
      </c>
      <c r="E57" s="89" t="inlineStr">
        <is>
          <t>Benodigd m</t>
        </is>
      </c>
      <c r="F57" s="89" t="inlineStr">
        <is>
          <t>Marge m</t>
        </is>
      </c>
      <c r="G57" s="49" t="inlineStr">
        <is>
          <t>Toets</t>
        </is>
      </c>
      <c r="H57" s="49" t="inlineStr">
        <is>
          <t>Toelichting</t>
        </is>
      </c>
    </row>
    <row r="58" ht="43" customHeight="1">
      <c r="A58" s="9" t="inlineStr">
        <is>
          <t>DEP1</t>
        </is>
      </c>
      <c r="B58" s="13" t="inlineStr">
        <is>
          <t>Containers en hoofdgeul</t>
        </is>
      </c>
      <c r="C58" s="107">
        <f>'Invoer'!D63</f>
        <v/>
      </c>
      <c r="D58" s="86">
        <f>'Invoer'!D101</f>
        <v/>
      </c>
      <c r="E58" s="86">
        <f>C58+SUM('Invoer'!D64,'Invoer'!D65,'Invoer'!D66,'Invoer'!D67,'Invoer'!D68,'Invoer'!D69,'Invoer'!D70)</f>
        <v/>
      </c>
      <c r="F58" s="86">
        <f>D58-E58</f>
        <v/>
      </c>
      <c r="G58" s="13">
        <f>IF(F58&gt;=-0.000001,"VOLDOET MODEL","DIEPTETEKORT")</f>
        <v/>
      </c>
      <c r="H58" s="13" t="inlineStr">
        <is>
          <t>Gelijke toeslagen als vroeger; per schip en verticaal datum nog onderbouwen.</t>
        </is>
      </c>
    </row>
    <row r="59" ht="43" customHeight="1">
      <c r="A59" s="9" t="inlineStr">
        <is>
          <t>DEP2</t>
        </is>
      </c>
      <c r="B59" s="13" t="inlineStr">
        <is>
          <t>Graan</t>
        </is>
      </c>
      <c r="C59" s="107">
        <f>'Invoer'!D106</f>
        <v/>
      </c>
      <c r="D59" s="86">
        <f>'Invoer'!D101</f>
        <v/>
      </c>
      <c r="E59" s="86">
        <f>C59+SUM('Invoer'!D64,'Invoer'!D65,'Invoer'!D66,'Invoer'!D67,'Invoer'!D68,'Invoer'!D69,'Invoer'!D70)</f>
        <v/>
      </c>
      <c r="F59" s="86">
        <f>D59-E59</f>
        <v/>
      </c>
      <c r="G59" s="13">
        <f>IF(F59&gt;=-0.000001,"VOLDOET MODEL","DIEPTETEKORT")</f>
        <v/>
      </c>
      <c r="H59" s="13" t="inlineStr">
        <is>
          <t>Gelijke toeslagen als vroeger; per schip en verticaal datum nog onderbouwen.</t>
        </is>
      </c>
    </row>
    <row r="60" ht="43" customHeight="1">
      <c r="A60" s="9" t="inlineStr">
        <is>
          <t>DEP3</t>
        </is>
      </c>
      <c r="B60" s="13" t="inlineStr">
        <is>
          <t>LNG</t>
        </is>
      </c>
      <c r="C60" s="107">
        <f>'Invoer'!D104</f>
        <v/>
      </c>
      <c r="D60" s="86">
        <f>'Invoer'!D102</f>
        <v/>
      </c>
      <c r="E60" s="86">
        <f>C60+SUM('Invoer'!D64,'Invoer'!D65,'Invoer'!D66,'Invoer'!D67,'Invoer'!D68,'Invoer'!D69,'Invoer'!D70)</f>
        <v/>
      </c>
      <c r="F60" s="86">
        <f>D60-E60</f>
        <v/>
      </c>
      <c r="G60" s="13">
        <f>IF(F60&gt;=-0.000001,"VOLDOET MODEL","DIEPTETEKORT")</f>
        <v/>
      </c>
      <c r="H60" s="13" t="inlineStr">
        <is>
          <t>Gelijke toeslagen als vroeger; per schip en verticaal datum nog onderbouwen.</t>
        </is>
      </c>
    </row>
    <row r="61" ht="43" customHeight="1">
      <c r="A61" s="9" t="inlineStr">
        <is>
          <t>DEP4</t>
        </is>
      </c>
      <c r="B61" s="13" t="inlineStr">
        <is>
          <t>RoRo</t>
        </is>
      </c>
      <c r="C61" s="107">
        <f>'Invoer'!D105</f>
        <v/>
      </c>
      <c r="D61" s="86">
        <f>'Invoer'!D103</f>
        <v/>
      </c>
      <c r="E61" s="86">
        <f>C61+SUM('Invoer'!D64,'Invoer'!D65,'Invoer'!D66,'Invoer'!D67,'Invoer'!D68,'Invoer'!D69,'Invoer'!D70)</f>
        <v/>
      </c>
      <c r="F61" s="86">
        <f>D61-E61</f>
        <v/>
      </c>
      <c r="G61" s="13">
        <f>IF(F61&gt;=-0.000001,"VOLDOET MODEL","DIEPTETEKORT")</f>
        <v/>
      </c>
      <c r="H61" s="13" t="inlineStr">
        <is>
          <t>Gelijke toeslagen als vroeger; per schip en verticaal datum nog onderbouwen.</t>
        </is>
      </c>
    </row>
    <row r="62" ht="31" customHeight="1">
      <c r="A62" s="9" t="n"/>
      <c r="B62" s="13" t="n"/>
      <c r="C62" s="13" t="n"/>
      <c r="D62" s="85" t="n"/>
      <c r="E62" s="85" t="n"/>
      <c r="F62" s="85" t="n"/>
      <c r="G62" s="13" t="n"/>
      <c r="H62" s="13" t="n"/>
    </row>
    <row r="63" ht="31" customHeight="1">
      <c r="A63" s="9" t="n"/>
      <c r="B63" s="13" t="n"/>
      <c r="C63" s="13" t="n"/>
      <c r="D63" s="85" t="n"/>
      <c r="E63" s="85" t="n"/>
      <c r="F63" s="85" t="n"/>
      <c r="G63" s="13" t="n"/>
      <c r="H63" s="13" t="n"/>
    </row>
    <row r="64" ht="31" customHeight="1">
      <c r="A64" s="9" t="n"/>
      <c r="B64" s="13" t="n"/>
      <c r="C64" s="13" t="n"/>
      <c r="D64" s="85" t="n"/>
      <c r="E64" s="85" t="n"/>
      <c r="F64" s="85" t="n"/>
      <c r="G64" s="13" t="n"/>
      <c r="H64" s="13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</row>
  </sheetData>
  <conditionalFormatting sqref="D53">
    <cfRule type="cellIs" priority="1" operator="lessThan" dxfId="3">
      <formula>0</formula>
    </cfRule>
  </conditionalFormatting>
  <conditionalFormatting sqref="F58:F61">
    <cfRule type="cellIs" priority="2" operator="lessThan" dxfId="3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8" customWidth="1" min="1" max="1"/>
    <col width="39" customWidth="1" min="2" max="2"/>
    <col width="18" customWidth="1" min="3" max="3"/>
    <col width="17" customWidth="1" min="4" max="4"/>
    <col width="17" customWidth="1" min="5" max="5"/>
    <col width="17" customWidth="1" min="6" max="6"/>
    <col width="24" customWidth="1" min="7" max="7"/>
    <col width="68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Containers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3" t="n"/>
      <c r="B3" s="3" t="inlineStr">
        <is>
          <t>Actieve LNG-tanks</t>
        </is>
      </c>
      <c r="C3" s="3" t="n"/>
      <c r="D3" s="82">
        <f>'Invoer'!$D$3</f>
        <v/>
      </c>
      <c r="E3" s="3" t="n"/>
      <c r="F3" s="3" t="n"/>
      <c r="G3" s="3" t="n"/>
      <c r="H3" s="3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27" customHeight="1">
      <c r="A5" s="8" t="inlineStr">
        <is>
          <t>Ref</t>
        </is>
      </c>
      <c r="B5" s="8" t="inlineStr">
        <is>
          <t>Berekening</t>
        </is>
      </c>
      <c r="C5" s="8" t="inlineStr">
        <is>
          <t>Eenheid</t>
        </is>
      </c>
      <c r="D5" s="8" t="inlineStr">
        <is>
          <t>2025</t>
        </is>
      </c>
      <c r="E5" s="8" t="inlineStr">
        <is>
          <t>2035</t>
        </is>
      </c>
      <c r="F5" s="8" t="inlineStr">
        <is>
          <t>2045</t>
        </is>
      </c>
      <c r="G5" s="8" t="inlineStr">
        <is>
          <t>Status</t>
        </is>
      </c>
      <c r="H5" s="8" t="inlineStr">
        <is>
          <t>Toelichting</t>
        </is>
      </c>
    </row>
    <row r="6" ht="27" customHeight="1">
      <c r="A6" s="9" t="inlineStr">
        <is>
          <t>C01</t>
        </is>
      </c>
      <c r="B6" s="13" t="inlineStr">
        <is>
          <t>TEU per fysieke container</t>
        </is>
      </c>
      <c r="C6" s="13" t="inlineStr">
        <is>
          <t>TEU/box</t>
        </is>
      </c>
      <c r="D6" s="108">
        <f>(Invoer!D13+2)/(Invoer!D13+1)</f>
        <v/>
      </c>
      <c r="E6" s="108">
        <f>(Invoer!E13+2)/(Invoer!E13+1)</f>
        <v/>
      </c>
      <c r="F6" s="108">
        <f>(Invoer!F13+2)/(Invoer!F13+1)</f>
        <v/>
      </c>
      <c r="G6" s="9" t="n"/>
      <c r="H6" s="13" t="inlineStr">
        <is>
          <t>N20 = 1,2 N40; box is één fysieke container</t>
        </is>
      </c>
    </row>
    <row r="7" ht="27" customHeight="1">
      <c r="A7" s="9" t="inlineStr">
        <is>
          <t>C02</t>
        </is>
      </c>
      <c r="B7" s="13" t="inlineStr">
        <is>
          <t>Jaarlijkse kraanbewegingen</t>
        </is>
      </c>
      <c r="C7" s="13" t="inlineStr">
        <is>
          <t>box/jaar</t>
        </is>
      </c>
      <c r="D7" s="85">
        <f>Invoer!D6/D6</f>
        <v/>
      </c>
      <c r="E7" s="85">
        <f>Invoer!E6/E6</f>
        <v/>
      </c>
      <c r="F7" s="85">
        <f>Invoer!F6/F6</f>
        <v/>
      </c>
      <c r="G7" s="9" t="n"/>
      <c r="H7" s="13" t="inlineStr">
        <is>
          <t>Eén kadetransfer per box; rehandles apart</t>
        </is>
      </c>
    </row>
    <row r="8" ht="27" customHeight="1">
      <c r="A8" s="9" t="inlineStr">
        <is>
          <t>C03</t>
        </is>
      </c>
      <c r="B8" s="13" t="inlineStr">
        <is>
          <t>Gemiddelde containercalls</t>
        </is>
      </c>
      <c r="C8" s="13" t="inlineStr">
        <is>
          <t>calls/jaar</t>
        </is>
      </c>
      <c r="D8" s="85">
        <f>Invoer!D6/Invoer!D14</f>
        <v/>
      </c>
      <c r="E8" s="85">
        <f>Invoer!E6/Invoer!E14</f>
        <v/>
      </c>
      <c r="F8" s="85">
        <f>Invoer!F6/Invoer!F14</f>
        <v/>
      </c>
      <c r="G8" s="9" t="n"/>
      <c r="H8" s="13" t="inlineStr">
        <is>
          <t>Gemiddeld; afgeronde planning staat eronder</t>
        </is>
      </c>
    </row>
    <row r="9" ht="27" customHeight="1">
      <c r="A9" s="9" t="inlineStr">
        <is>
          <t>C04</t>
        </is>
      </c>
      <c r="B9" s="13" t="inlineStr">
        <is>
          <t>Calls afgerond naar boven</t>
        </is>
      </c>
      <c r="C9" s="13" t="inlineStr">
        <is>
          <t>calls/jaar</t>
        </is>
      </c>
      <c r="D9" s="83">
        <f>ROUNDUP(D8,0)</f>
        <v/>
      </c>
      <c r="E9" s="83">
        <f>ROUNDUP(E8,0)</f>
        <v/>
      </c>
      <c r="F9" s="83">
        <f>ROUNDUP(F8,0)</f>
        <v/>
      </c>
      <c r="G9" s="9" t="n"/>
      <c r="H9" s="13" t="inlineStr">
        <is>
          <t>Voor planning en verkeersbelasting</t>
        </is>
      </c>
    </row>
    <row r="10" ht="27" customHeight="1">
      <c r="A10" s="9" t="inlineStr">
        <is>
          <t>C05</t>
        </is>
      </c>
      <c r="B10" s="13" t="inlineStr">
        <is>
          <t>Kraanbewegingen per call</t>
        </is>
      </c>
      <c r="C10" s="13" t="inlineStr">
        <is>
          <t>box/call</t>
        </is>
      </c>
      <c r="D10" s="85">
        <f>Invoer!D14/D6</f>
        <v/>
      </c>
      <c r="E10" s="85">
        <f>Invoer!E14/E6</f>
        <v/>
      </c>
      <c r="F10" s="85">
        <f>Invoer!F14/F6</f>
        <v/>
      </c>
      <c r="G10" s="9" t="n"/>
      <c r="H10" s="13" t="inlineStr">
        <is>
          <t>Parcel is kadedoorzet; geen gehele scheepscapaciteit</t>
        </is>
      </c>
    </row>
    <row r="11" ht="27" customHeight="1">
      <c r="A11" s="9" t="inlineStr">
        <is>
          <t>C06</t>
        </is>
      </c>
      <c r="B11" s="13" t="inlineStr">
        <is>
          <t>Effectieve scheepsproductiviteit</t>
        </is>
      </c>
      <c r="C11" s="13" t="inlineStr">
        <is>
          <t>box/uur</t>
        </is>
      </c>
      <c r="D11" s="85">
        <f>Invoer!D15*Invoer!D16</f>
        <v/>
      </c>
      <c r="E11" s="85">
        <f>Invoer!E15*Invoer!E16</f>
        <v/>
      </c>
      <c r="F11" s="85">
        <f>Invoer!F15*Invoer!F16</f>
        <v/>
      </c>
      <c r="G11" s="9" t="n"/>
      <c r="H11" s="13" t="inlineStr">
        <is>
          <t>Netto productiviteit per kraan x gelijktijdige kranen</t>
        </is>
      </c>
    </row>
    <row r="12" ht="27" customHeight="1">
      <c r="A12" s="9" t="inlineStr">
        <is>
          <t>C07</t>
        </is>
      </c>
      <c r="B12" s="13" t="inlineStr">
        <is>
          <t>Overslag plus overige tijd</t>
        </is>
      </c>
      <c r="C12" s="13" t="inlineStr">
        <is>
          <t>uur/call</t>
        </is>
      </c>
      <c r="D12" s="85">
        <f>D10/D11+Invoer!D17</f>
        <v/>
      </c>
      <c r="E12" s="85">
        <f>E10/E11+Invoer!E17</f>
        <v/>
      </c>
      <c r="F12" s="85">
        <f>F10/F11+Invoer!F17</f>
        <v/>
      </c>
      <c r="G12" s="9" t="n"/>
      <c r="H12" s="13" t="inlineStr">
        <is>
          <t>Vervangt de oude vaste aanname van 28 uur</t>
        </is>
      </c>
    </row>
    <row r="13" ht="27" customHeight="1">
      <c r="A13" s="9" t="inlineStr">
        <is>
          <t>C08</t>
        </is>
      </c>
      <c r="B13" s="13" t="inlineStr">
        <is>
          <t>Ligplaatsuren totaal</t>
        </is>
      </c>
      <c r="C13" s="13" t="inlineStr">
        <is>
          <t>uur/jaar</t>
        </is>
      </c>
      <c r="D13" s="85">
        <f>D9*D12</f>
        <v/>
      </c>
      <c r="E13" s="85">
        <f>E9*E12</f>
        <v/>
      </c>
      <c r="F13" s="85">
        <f>F9*F12</f>
        <v/>
      </c>
      <c r="G13" s="9" t="n"/>
      <c r="H13" s="13" t="inlineStr">
        <is>
          <t>Afgeronde calls voor conservatieve bezetting</t>
        </is>
      </c>
    </row>
    <row r="14" ht="27" customHeight="1">
      <c r="A14" s="9" t="inlineStr">
        <is>
          <t>C09</t>
        </is>
      </c>
      <c r="B14" s="13" t="inlineStr">
        <is>
          <t>Beschikbare uren per berth</t>
        </is>
      </c>
      <c r="C14" s="13" t="inlineStr">
        <is>
          <t>uur/jaar</t>
        </is>
      </c>
      <c r="D14" s="85">
        <f>Invoer!D10*24*Invoer!D11</f>
        <v/>
      </c>
      <c r="E14" s="85">
        <f>Invoer!E10*24*Invoer!E11</f>
        <v/>
      </c>
      <c r="F14" s="85">
        <f>Invoer!F10*24*Invoer!F11</f>
        <v/>
      </c>
      <c r="G14" s="9" t="n"/>
      <c r="H14" s="13" t="inlineStr">
        <is>
          <t>5% totale berthuitval als ontwerphypothese</t>
        </is>
      </c>
    </row>
    <row r="15" ht="27" customHeight="1">
      <c r="A15" s="9" t="inlineStr">
        <is>
          <t>C10</t>
        </is>
      </c>
      <c r="B15" s="13" t="inlineStr">
        <is>
          <t>Benodigde containerligplaatsen</t>
        </is>
      </c>
      <c r="C15" s="13" t="inlineStr">
        <is>
          <t>aantal</t>
        </is>
      </c>
      <c r="D15" s="83">
        <f>ROUNDUP(D13/(D14*Invoer!D12),0)</f>
        <v/>
      </c>
      <c r="E15" s="83">
        <f>ROUNDUP(E13/(E14*Invoer!E12),0)</f>
        <v/>
      </c>
      <c r="F15" s="83">
        <f>ROUNDUP(F13/(F14*Invoer!F12),0)</f>
        <v/>
      </c>
      <c r="G15" s="9" t="n"/>
      <c r="H15" s="13" t="inlineStr">
        <is>
          <t>Toets is capaciteitsberekening, geen wachtrijbewijs</t>
        </is>
      </c>
    </row>
    <row r="16" ht="27" customHeight="1">
      <c r="A16" s="9" t="inlineStr">
        <is>
          <t>C11</t>
        </is>
      </c>
      <c r="B16" s="13" t="inlineStr">
        <is>
          <t>Geplande containerligplaatsen</t>
        </is>
      </c>
      <c r="C16" s="13" t="inlineStr">
        <is>
          <t>aantal</t>
        </is>
      </c>
      <c r="D16" s="83">
        <f>Invoer!D18</f>
        <v/>
      </c>
      <c r="E16" s="83">
        <f>Invoer!E18</f>
        <v/>
      </c>
      <c r="F16" s="83">
        <f>Invoer!F18</f>
        <v/>
      </c>
      <c r="G16" s="9" t="n"/>
      <c r="H16" s="13" t="inlineStr">
        <is>
          <t>Intekenen na keuze</t>
        </is>
      </c>
    </row>
    <row r="17" ht="27" customHeight="1">
      <c r="A17" s="9" t="inlineStr">
        <is>
          <t>C12</t>
        </is>
      </c>
      <c r="B17" s="13" t="inlineStr">
        <is>
          <t>Bezetting geplande kades</t>
        </is>
      </c>
      <c r="C17" s="13" t="inlineStr">
        <is>
          <t>deel</t>
        </is>
      </c>
      <c r="D17" s="84">
        <f>D13/(D14*D16)</f>
        <v/>
      </c>
      <c r="E17" s="84">
        <f>E13/(E14*E16)</f>
        <v/>
      </c>
      <c r="F17" s="84">
        <f>F13/(F14*F16)</f>
        <v/>
      </c>
      <c r="G17" s="9" t="n"/>
      <c r="H17" s="13" t="inlineStr">
        <is>
          <t>Vergeleken met projectcriterium 65%</t>
        </is>
      </c>
    </row>
    <row r="18" ht="27" customHeight="1">
      <c r="A18" s="9" t="inlineStr">
        <is>
          <t>C13</t>
        </is>
      </c>
      <c r="B18" s="13" t="inlineStr">
        <is>
          <t>Containerkade volgens tekening</t>
        </is>
      </c>
      <c r="C18" s="13" t="inlineStr">
        <is>
          <t>m</t>
        </is>
      </c>
      <c r="D18" s="83">
        <f>D16*Invoer!D19</f>
        <v/>
      </c>
      <c r="E18" s="83">
        <f>E16*Invoer!E19</f>
        <v/>
      </c>
      <c r="F18" s="83">
        <f>F16*Invoer!F19</f>
        <v/>
      </c>
      <c r="G18" s="9" t="n"/>
      <c r="H18" s="13" t="inlineStr">
        <is>
          <t>Aantal ligplaatsen x gemeten lengte van circa 401,1 m</t>
        </is>
      </c>
    </row>
    <row r="19" ht="27" customHeight="1">
      <c r="A19" s="9" t="inlineStr">
        <is>
          <t>C14</t>
        </is>
      </c>
      <c r="B19" s="13" t="inlineStr">
        <is>
          <t>STS-kranen in operatie</t>
        </is>
      </c>
      <c r="C19" s="13" t="inlineStr">
        <is>
          <t>aantal</t>
        </is>
      </c>
      <c r="D19" s="83">
        <f>D16*Invoer!D15</f>
        <v/>
      </c>
      <c r="E19" s="83">
        <f>E16*Invoer!E15</f>
        <v/>
      </c>
      <c r="F19" s="83">
        <f>F16*Invoer!F15</f>
        <v/>
      </c>
      <c r="G19" s="9" t="n"/>
      <c r="H19" s="13" t="inlineStr">
        <is>
          <t>Gelijktijdig bij volledige bezetting; geen onderhoudsreserve</t>
        </is>
      </c>
    </row>
    <row r="20" ht="27" customHeight="1">
      <c r="A20" s="9" t="inlineStr">
        <is>
          <t>C15</t>
        </is>
      </c>
      <c r="B20" s="13" t="inlineStr">
        <is>
          <t>Gewogen verblijftijd</t>
        </is>
      </c>
      <c r="C20" s="13" t="inlineStr">
        <is>
          <t>dagen</t>
        </is>
      </c>
      <c r="D20" s="85">
        <f>Invoer!D21*Invoer!D24+Invoer!D22*Invoer!D25+Invoer!D23*Invoer!D26</f>
        <v/>
      </c>
      <c r="E20" s="85">
        <f>Invoer!E21*Invoer!E24+Invoer!E22*Invoer!E25+Invoer!E23*Invoer!E26</f>
        <v/>
      </c>
      <c r="F20" s="85">
        <f>Invoer!F21*Invoer!F24+Invoer!F22*Invoer!F25+Invoer!F23*Invoer!F26</f>
        <v/>
      </c>
      <c r="G20" s="9" t="n"/>
      <c r="H20" s="13" t="inlineStr">
        <is>
          <t>6,2 dagen volgens case</t>
        </is>
      </c>
    </row>
    <row r="21" ht="27" customHeight="1">
      <c r="A21" s="9" t="inlineStr">
        <is>
          <t>C16</t>
        </is>
      </c>
      <c r="B21" s="13" t="inlineStr">
        <is>
          <t>Piekvoorraad import</t>
        </is>
      </c>
      <c r="C21" s="13" t="inlineStr">
        <is>
          <t>TEU</t>
        </is>
      </c>
      <c r="D21" s="85">
        <f>Invoer!D6*Invoer!D21*Invoer!D24/Invoer!D10*Invoer!D27</f>
        <v/>
      </c>
      <c r="E21" s="85">
        <f>Invoer!E6*Invoer!E21*Invoer!E24/Invoer!E10*Invoer!E27</f>
        <v/>
      </c>
      <c r="F21" s="85">
        <f>Invoer!F6*Invoer!F21*Invoer!F24/Invoer!F10*Invoer!F27</f>
        <v/>
      </c>
      <c r="G21" s="9" t="n"/>
      <c r="H21" s="13" t="inlineStr">
        <is>
          <t>TEU-dagen; geen extra conversie naar box</t>
        </is>
      </c>
    </row>
    <row r="22" ht="27" customHeight="1">
      <c r="A22" s="9" t="inlineStr">
        <is>
          <t>C17</t>
        </is>
      </c>
      <c r="B22" s="13" t="inlineStr">
        <is>
          <t>Piekvoorraad volle export</t>
        </is>
      </c>
      <c r="C22" s="13" t="inlineStr">
        <is>
          <t>TEU</t>
        </is>
      </c>
      <c r="D22" s="85">
        <f>Invoer!D6*Invoer!D22*Invoer!D25/Invoer!D10*Invoer!D27</f>
        <v/>
      </c>
      <c r="E22" s="85">
        <f>Invoer!E6*Invoer!E22*Invoer!E25/Invoer!E10*Invoer!E27</f>
        <v/>
      </c>
      <c r="F22" s="85">
        <f>Invoer!F6*Invoer!F22*Invoer!F25/Invoer!F10*Invoer!F27</f>
        <v/>
      </c>
      <c r="G22" s="9" t="n"/>
      <c r="H22" s="13" t="n"/>
    </row>
    <row r="23" ht="27" customHeight="1">
      <c r="A23" s="9" t="inlineStr">
        <is>
          <t>C18</t>
        </is>
      </c>
      <c r="B23" s="13" t="inlineStr">
        <is>
          <t>Piekvoorraad lege export</t>
        </is>
      </c>
      <c r="C23" s="13" t="inlineStr">
        <is>
          <t>TEU</t>
        </is>
      </c>
      <c r="D23" s="85">
        <f>Invoer!D6*Invoer!D23*Invoer!D26/Invoer!D10*Invoer!D27</f>
        <v/>
      </c>
      <c r="E23" s="85">
        <f>Invoer!E6*Invoer!E23*Invoer!E26/Invoer!E10*Invoer!E27</f>
        <v/>
      </c>
      <c r="F23" s="85">
        <f>Invoer!F6*Invoer!F23*Invoer!F26/Invoer!F10*Invoer!F27</f>
        <v/>
      </c>
      <c r="G23" s="9" t="n"/>
      <c r="H23" s="13" t="n"/>
    </row>
    <row r="24" ht="27" customHeight="1">
      <c r="A24" s="9" t="inlineStr">
        <is>
          <t>C19</t>
        </is>
      </c>
      <c r="B24" s="13" t="inlineStr">
        <is>
          <t>Piekvoorraad totaal</t>
        </is>
      </c>
      <c r="C24" s="13" t="inlineStr">
        <is>
          <t>TEU</t>
        </is>
      </c>
      <c r="D24" s="83">
        <f>SUM(D21:D23)</f>
        <v/>
      </c>
      <c r="E24" s="83">
        <f>SUM(E21:E23)</f>
        <v/>
      </c>
      <c r="F24" s="83">
        <f>SUM(F21:F23)</f>
        <v/>
      </c>
      <c r="G24" s="9" t="n"/>
      <c r="H24" s="13" t="inlineStr">
        <is>
          <t>Som van drie stromen</t>
        </is>
      </c>
    </row>
    <row r="25" ht="27" customHeight="1">
      <c r="A25" s="9" t="inlineStr">
        <is>
          <t>C20</t>
        </is>
      </c>
      <c r="B25" s="13" t="inlineStr">
        <is>
          <t>Benodigde TEU-grondslots</t>
        </is>
      </c>
      <c r="C25" s="13" t="inlineStr">
        <is>
          <t>slots</t>
        </is>
      </c>
      <c r="D25" s="83">
        <f>D24/(Invoer!D28*Invoer!D29)</f>
        <v/>
      </c>
      <c r="E25" s="83">
        <f>E24/(Invoer!E28*Invoer!E29)</f>
        <v/>
      </c>
      <c r="F25" s="83">
        <f>F24/(Invoer!F28*Invoer!F29)</f>
        <v/>
      </c>
      <c r="G25" s="9" t="n"/>
      <c r="H25" s="13" t="inlineStr">
        <is>
          <t>3 hoog bij 70% slotbenutting</t>
        </is>
      </c>
    </row>
    <row r="26" ht="27" customHeight="1">
      <c r="A26" s="9" t="inlineStr">
        <is>
          <t>C21</t>
        </is>
      </c>
      <c r="B26" s="13" t="inlineStr">
        <is>
          <t>Netto opslagoppervlakte</t>
        </is>
      </c>
      <c r="C26" s="13" t="inlineStr">
        <is>
          <t>ha</t>
        </is>
      </c>
      <c r="D26" s="85">
        <f>D25*Invoer!D30/10000</f>
        <v/>
      </c>
      <c r="E26" s="85">
        <f>E25*Invoer!E30/10000</f>
        <v/>
      </c>
      <c r="F26" s="85">
        <f>F25*Invoer!F30/10000</f>
        <v/>
      </c>
      <c r="G26" s="9" t="n"/>
      <c r="H26" s="13" t="inlineStr">
        <is>
          <t>28 m2 per TEU-grondslot</t>
        </is>
      </c>
    </row>
    <row r="27" ht="27" customHeight="1">
      <c r="A27" s="9" t="inlineStr">
        <is>
          <t>C22</t>
        </is>
      </c>
      <c r="B27" s="13" t="inlineStr">
        <is>
          <t>Containerterminal totaal</t>
        </is>
      </c>
      <c r="C27" s="13" t="inlineStr">
        <is>
          <t>ha</t>
        </is>
      </c>
      <c r="D27" s="85">
        <f>D26*Invoer!D31</f>
        <v/>
      </c>
      <c r="E27" s="85">
        <f>E26*Invoer!E31</f>
        <v/>
      </c>
      <c r="F27" s="85">
        <f>F26*Invoer!F31</f>
        <v/>
      </c>
      <c r="G27" s="9" t="n"/>
      <c r="H27" s="13" t="inlineStr">
        <is>
          <t>Netto opslag x 1,2; equipmentindeling toetsen</t>
        </is>
      </c>
    </row>
    <row r="28" ht="27" customHeight="1">
      <c r="A28" s="9" t="inlineStr">
        <is>
          <t>C23</t>
        </is>
      </c>
      <c r="B28" s="13" t="inlineStr">
        <is>
          <t>Containerterrein volgens tekening</t>
        </is>
      </c>
      <c r="C28" s="13" t="inlineStr">
        <is>
          <t>ha</t>
        </is>
      </c>
      <c r="D28" s="85">
        <f>Invoer!D20</f>
        <v/>
      </c>
      <c r="E28" s="85">
        <f>Invoer!E20</f>
        <v/>
      </c>
      <c r="F28" s="85">
        <f>Invoer!F20</f>
        <v/>
      </c>
      <c r="G28" s="9" t="n"/>
      <c r="H28" s="13" t="inlineStr">
        <is>
          <t>Cumulatief gemeten fasevlakken uit de DWG</t>
        </is>
      </c>
    </row>
    <row r="29" ht="27" customHeight="1">
      <c r="A29" s="9" t="inlineStr">
        <is>
          <t>C24</t>
        </is>
      </c>
      <c r="B29" s="13" t="inlineStr">
        <is>
          <t>Marge terrein</t>
        </is>
      </c>
      <c r="C29" s="13" t="inlineStr">
        <is>
          <t>ha</t>
        </is>
      </c>
      <c r="D29" s="85">
        <f>D28-D27</f>
        <v/>
      </c>
      <c r="E29" s="85">
        <f>E28-E27</f>
        <v/>
      </c>
      <c r="F29" s="85">
        <f>F28-F27</f>
        <v/>
      </c>
      <c r="G29" s="9" t="n"/>
      <c r="H29" s="13" t="inlineStr">
        <is>
          <t>Alleen terreinmodel; bruikbare opslagvakken hieronder nog toetsen</t>
        </is>
      </c>
    </row>
    <row r="30" ht="27" customHeight="1">
      <c r="A30" s="9" t="inlineStr">
        <is>
          <t>C25</t>
        </is>
      </c>
      <c r="B30" s="13" t="inlineStr">
        <is>
          <t>Capaciteitstoets kades</t>
        </is>
      </c>
      <c r="C30" s="13" t="inlineStr">
        <is>
          <t>-</t>
        </is>
      </c>
      <c r="D30" s="85">
        <f>IF(D15&lt;=D16,"VOLDOET REKENKUNDIG","MEER CAPACITEIT NODIG")</f>
        <v/>
      </c>
      <c r="E30" s="85">
        <f>IF(E15&lt;=E16,"VOLDOET REKENKUNDIG","MEER CAPACITEIT NODIG")</f>
        <v/>
      </c>
      <c r="F30" s="85">
        <f>IF(F15&lt;=F16,"VOLDOET REKENKUNDIG","MEER CAPACITEIT NODIG")</f>
        <v/>
      </c>
      <c r="G30" s="9" t="n"/>
      <c r="H30" s="13" t="inlineStr">
        <is>
          <t>Geen garantie voor korte wachttijden</t>
        </is>
      </c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</row>
    <row r="32" ht="25" customHeight="1">
      <c r="A32" s="42" t="inlineStr">
        <is>
          <t>Getekende opslagvakken en bruikbare slots</t>
        </is>
      </c>
      <c r="B32" s="43" t="n"/>
      <c r="C32" s="43" t="n"/>
      <c r="D32" s="87" t="n"/>
      <c r="E32" s="87" t="n"/>
      <c r="F32" s="87" t="n"/>
      <c r="G32" s="43" t="n"/>
      <c r="H32" s="43" t="n"/>
    </row>
    <row r="33" ht="32" customHeight="1">
      <c r="A33" s="49" t="inlineStr">
        <is>
          <t>Ref</t>
        </is>
      </c>
      <c r="B33" s="49" t="inlineStr">
        <is>
          <t>Berekening</t>
        </is>
      </c>
      <c r="C33" s="49" t="inlineStr">
        <is>
          <t>Eenheid</t>
        </is>
      </c>
      <c r="D33" s="89" t="inlineStr">
        <is>
          <t>2025</t>
        </is>
      </c>
      <c r="E33" s="89" t="inlineStr">
        <is>
          <t>2035</t>
        </is>
      </c>
      <c r="F33" s="89" t="inlineStr">
        <is>
          <t>2045</t>
        </is>
      </c>
      <c r="G33" s="49" t="inlineStr">
        <is>
          <t>Status</t>
        </is>
      </c>
      <c r="H33" s="49" t="inlineStr">
        <is>
          <t>Toelichting</t>
        </is>
      </c>
    </row>
    <row r="34" ht="31" customHeight="1">
      <c r="A34" s="9" t="inlineStr">
        <is>
          <t>C26</t>
        </is>
      </c>
      <c r="B34" s="13" t="inlineStr">
        <is>
          <t>Reguliere stackvakken</t>
        </is>
      </c>
      <c r="C34" s="13" t="inlineStr">
        <is>
          <t>m2</t>
        </is>
      </c>
      <c r="D34" s="109">
        <f>'Invoer'!D119</f>
        <v/>
      </c>
      <c r="E34" s="109">
        <f>'Invoer'!E119</f>
        <v/>
      </c>
      <c r="F34" s="109">
        <f>'Invoer'!F119</f>
        <v/>
      </c>
      <c r="G34" s="13" t="n"/>
      <c r="H34" s="13" t="inlineStr">
        <is>
          <t>Werkelijke oppervlakte binnen de cumulatieve fasegrens</t>
        </is>
      </c>
    </row>
    <row r="35" ht="31" customHeight="1">
      <c r="A35" s="9" t="inlineStr">
        <is>
          <t>C27</t>
        </is>
      </c>
      <c r="B35" s="13" t="inlineStr">
        <is>
          <t>Reefervakken</t>
        </is>
      </c>
      <c r="C35" s="13" t="inlineStr">
        <is>
          <t>m2</t>
        </is>
      </c>
      <c r="D35" s="109">
        <f>'Invoer'!D120</f>
        <v/>
      </c>
      <c r="E35" s="109">
        <f>'Invoer'!E120</f>
        <v/>
      </c>
      <c r="F35" s="109">
        <f>'Invoer'!F120</f>
        <v/>
      </c>
      <c r="G35" s="13" t="n"/>
      <c r="H35" s="13" t="inlineStr">
        <is>
          <t>Benodigd reeferaandeel en aansluitingen nog niet gegeven</t>
        </is>
      </c>
    </row>
    <row r="36" ht="31" customHeight="1">
      <c r="A36" s="9" t="inlineStr">
        <is>
          <t>C28</t>
        </is>
      </c>
      <c r="B36" s="13" t="inlineStr">
        <is>
          <t>Aparte vakken lege containers</t>
        </is>
      </c>
      <c r="C36" s="13" t="inlineStr">
        <is>
          <t>m2</t>
        </is>
      </c>
      <c r="D36" s="109">
        <f>'Invoer'!D121</f>
        <v/>
      </c>
      <c r="E36" s="109">
        <f>'Invoer'!E121</f>
        <v/>
      </c>
      <c r="F36" s="109">
        <f>'Invoer'!F121</f>
        <v/>
      </c>
      <c r="G36" s="13" t="n"/>
      <c r="H36" s="13" t="inlineStr">
        <is>
          <t>In fase 1 en 2 zijn geen aparte lege-vakken getekend</t>
        </is>
      </c>
    </row>
    <row r="37" ht="31" customHeight="1">
      <c r="A37" s="9" t="inlineStr">
        <is>
          <t>C29</t>
        </is>
      </c>
      <c r="B37" s="13" t="inlineStr">
        <is>
          <t>Oppervlakte alle opslagblokken</t>
        </is>
      </c>
      <c r="C37" s="13" t="inlineStr">
        <is>
          <t>m2</t>
        </is>
      </c>
      <c r="D37" s="109">
        <f>SUM(D34:D36)</f>
        <v/>
      </c>
      <c r="E37" s="109">
        <f>SUM(E34:E36)</f>
        <v/>
      </c>
      <c r="F37" s="109">
        <f>SUM(F34:F36)</f>
        <v/>
      </c>
      <c r="G37" s="13" t="n"/>
      <c r="H37" s="13" t="inlineStr">
        <is>
          <t>Geen slotcapaciteit uit alleen oppervlakte afleiden</t>
        </is>
      </c>
    </row>
    <row r="38" ht="31" customHeight="1">
      <c r="A38" s="9" t="inlineStr">
        <is>
          <t>C30</t>
        </is>
      </c>
      <c r="B38" s="13" t="inlineStr">
        <is>
          <t>Bruikbare grondslots totaal</t>
        </is>
      </c>
      <c r="C38" s="13" t="inlineStr">
        <is>
          <t>slots</t>
        </is>
      </c>
      <c r="D38" s="110">
        <f>IF(COUNT('Invoer'!D122)=1,'Invoer'!D122,"n.a.")</f>
        <v/>
      </c>
      <c r="E38" s="110">
        <f>IF(COUNT('Invoer'!E122)=1,'Invoer'!E122,"n.a.")</f>
        <v/>
      </c>
      <c r="F38" s="110">
        <f>IF(COUNT('Invoer'!F122)=1,'Invoer'!F122,"n.a.")</f>
        <v/>
      </c>
      <c r="G38" s="13" t="n"/>
      <c r="H38" s="13" t="inlineStr">
        <is>
          <t>Nog te tellen in de vakindeling</t>
        </is>
      </c>
    </row>
    <row r="39" ht="31" customHeight="1">
      <c r="A39" s="9" t="inlineStr">
        <is>
          <t>C31</t>
        </is>
      </c>
      <c r="B39" s="13" t="inlineStr">
        <is>
          <t>Voorraadcapaciteit uit slots</t>
        </is>
      </c>
      <c r="C39" s="13" t="inlineStr">
        <is>
          <t>TEU</t>
        </is>
      </c>
      <c r="D39" s="109">
        <f>IF(COUNT(D38)=1,D38*'Invoer'!D28*'Invoer'!D29,"n.a.")</f>
        <v/>
      </c>
      <c r="E39" s="109">
        <f>IF(COUNT(E38)=1,E38*'Invoer'!E28*'Invoer'!E29,"n.a.")</f>
        <v/>
      </c>
      <c r="F39" s="109">
        <f>IF(COUNT(F38)=1,F38*'Invoer'!F28*'Invoer'!F29,"n.a.")</f>
        <v/>
      </c>
      <c r="G39" s="13" t="n"/>
      <c r="H39" s="13" t="inlineStr">
        <is>
          <t>Slots x gemiddelde lagen x operationele benutting</t>
        </is>
      </c>
    </row>
    <row r="40" ht="31" customHeight="1">
      <c r="A40" s="9" t="inlineStr">
        <is>
          <t>C32</t>
        </is>
      </c>
      <c r="B40" s="13" t="inlineStr">
        <is>
          <t>Marge voorraadcapaciteit</t>
        </is>
      </c>
      <c r="C40" s="13" t="inlineStr">
        <is>
          <t>TEU</t>
        </is>
      </c>
      <c r="D40" s="109">
        <f>IF(COUNT(D39)=1,D39-D24,"n.a.")</f>
        <v/>
      </c>
      <c r="E40" s="109">
        <f>IF(COUNT(E39)=1,E39-E24,"n.a.")</f>
        <v/>
      </c>
      <c r="F40" s="109">
        <f>IF(COUNT(F39)=1,F39-F24,"n.a.")</f>
        <v/>
      </c>
      <c r="G40" s="13" t="n"/>
      <c r="H40" s="13" t="inlineStr">
        <is>
          <t>Positief vereist; geen extra terreinreservering bijtellen</t>
        </is>
      </c>
    </row>
    <row r="41" ht="47" customHeight="1">
      <c r="A41" s="9" t="inlineStr">
        <is>
          <t>C33</t>
        </is>
      </c>
      <c r="B41" s="13" t="inlineStr">
        <is>
          <t>Toets werkelijke opslagcapaciteit</t>
        </is>
      </c>
      <c r="C41" s="13" t="inlineStr">
        <is>
          <t>-</t>
        </is>
      </c>
      <c r="D41" s="111">
        <f>IF(COUNT(D40)=1,IF(D40&gt;=0,"VOLDOET REKENKUNDIG","OPSLAGTEKORT"),"GRONDSLOTS INVULLEN")</f>
        <v/>
      </c>
      <c r="E41" s="111">
        <f>IF(COUNT(E40)=1,IF(E40&gt;=0,"VOLDOET REKENKUNDIG","OPSLAGTEKORT"),"GRONDSLOTS INVULLEN")</f>
        <v/>
      </c>
      <c r="F41" s="111">
        <f>IF(COUNT(F40)=1,IF(F40&gt;=0,"VOLDOET REKENKUNDIG","OPSLAGTEKORT"),"GRONDSLOTS INVULLEN")</f>
        <v/>
      </c>
      <c r="G41" s="13" t="n"/>
      <c r="H41" s="13" t="inlineStr">
        <is>
          <t>Terreintoets en slottoets zijn verschillende controles</t>
        </is>
      </c>
    </row>
    <row r="42" ht="31" customHeight="1">
      <c r="A42" s="9" t="inlineStr">
        <is>
          <t>C34</t>
        </is>
      </c>
      <c r="B42" s="13" t="inlineStr">
        <is>
          <t>Benodigde slots lege containers</t>
        </is>
      </c>
      <c r="C42" s="13" t="inlineStr">
        <is>
          <t>slots</t>
        </is>
      </c>
      <c r="D42" s="110">
        <f>ROUNDUP(D23/('Invoer'!D28*'Invoer'!D29),0)</f>
        <v/>
      </c>
      <c r="E42" s="110">
        <f>ROUNDUP(E23/('Invoer'!E28*'Invoer'!E29),0)</f>
        <v/>
      </c>
      <c r="F42" s="110">
        <f>ROUNDUP(F23/('Invoer'!F28*'Invoer'!F29),0)</f>
        <v/>
      </c>
      <c r="G42" s="13" t="n"/>
      <c r="H42" s="13" t="inlineStr">
        <is>
          <t>Volgt uit dezelfde lege voorraad; benodigde hele slots naar boven afgerond</t>
        </is>
      </c>
    </row>
    <row r="43" ht="31" customHeight="1">
      <c r="A43" s="9" t="inlineStr">
        <is>
          <t>C35</t>
        </is>
      </c>
      <c r="B43" s="13" t="inlineStr">
        <is>
          <t>Toegewezen bruikbare lege-slots</t>
        </is>
      </c>
      <c r="C43" s="13" t="inlineStr">
        <is>
          <t>slots</t>
        </is>
      </c>
      <c r="D43" s="110">
        <f>IF(COUNT('Invoer'!D123)=1,'Invoer'!D123,"n.a.")</f>
        <v/>
      </c>
      <c r="E43" s="110">
        <f>IF(COUNT('Invoer'!E123)=1,'Invoer'!E123,"n.a.")</f>
        <v/>
      </c>
      <c r="F43" s="110">
        <f>IF(COUNT('Invoer'!F123)=1,'Invoer'!F123,"n.a.")</f>
        <v/>
      </c>
      <c r="G43" s="13" t="n"/>
      <c r="H43" s="13" t="inlineStr">
        <is>
          <t>Ook gedeelde reguliere vakken kunnen worden toegewezen</t>
        </is>
      </c>
    </row>
    <row r="44" ht="31" customHeight="1">
      <c r="A44" s="9" t="inlineStr">
        <is>
          <t>C36</t>
        </is>
      </c>
      <c r="B44" s="13" t="inlineStr">
        <is>
          <t>Voorraadcapaciteit lege-slots</t>
        </is>
      </c>
      <c r="C44" s="13" t="inlineStr">
        <is>
          <t>TEU</t>
        </is>
      </c>
      <c r="D44" s="109">
        <f>IF(COUNT(D43)=1,D43*'Invoer'!D28*'Invoer'!D29,"n.a.")</f>
        <v/>
      </c>
      <c r="E44" s="109">
        <f>IF(COUNT(E43)=1,E43*'Invoer'!E28*'Invoer'!E29,"n.a.")</f>
        <v/>
      </c>
      <c r="F44" s="109">
        <f>IF(COUNT(F43)=1,F43*'Invoer'!F28*'Invoer'!F29,"n.a.")</f>
        <v/>
      </c>
      <c r="G44" s="13" t="n"/>
      <c r="H44" s="13" t="inlineStr">
        <is>
          <t>Geen extra voorraad bovenop totaal; onderdeel van totaal aantal slots</t>
        </is>
      </c>
    </row>
    <row r="45" ht="31" customHeight="1">
      <c r="A45" s="9" t="inlineStr">
        <is>
          <t>C37</t>
        </is>
      </c>
      <c r="B45" s="13" t="inlineStr">
        <is>
          <t>Marge toegewezen lege opslag</t>
        </is>
      </c>
      <c r="C45" s="13" t="inlineStr">
        <is>
          <t>TEU</t>
        </is>
      </c>
      <c r="D45" s="109">
        <f>IF(COUNT(D44)=1,D44-D23,"n.a.")</f>
        <v/>
      </c>
      <c r="E45" s="109">
        <f>IF(COUNT(E44)=1,E44-E23,"n.a.")</f>
        <v/>
      </c>
      <c r="F45" s="109">
        <f>IF(COUNT(F44)=1,F44-F23,"n.a.")</f>
        <v/>
      </c>
      <c r="G45" s="13" t="n"/>
      <c r="H45" s="13" t="inlineStr">
        <is>
          <t>Werkelijke capaciteit na toewijzing</t>
        </is>
      </c>
    </row>
    <row r="46" ht="31" customHeight="1">
      <c r="A46" s="9" t="inlineStr">
        <is>
          <t>C38</t>
        </is>
      </c>
      <c r="B46" s="13" t="inlineStr">
        <is>
          <t>Geometrische bovengrens aparte vakken</t>
        </is>
      </c>
      <c r="C46" s="13" t="inlineStr">
        <is>
          <t>slots</t>
        </is>
      </c>
      <c r="D46" s="110">
        <f>ROUNDDOWN(D36/'Invoer'!D124,0)</f>
        <v/>
      </c>
      <c r="E46" s="110">
        <f>ROUNDDOWN(E36/'Invoer'!E124,0)</f>
        <v/>
      </c>
      <c r="F46" s="110">
        <f>ROUNDDOWN(F36/'Invoer'!F124,0)</f>
        <v/>
      </c>
      <c r="G46" s="13" t="n"/>
      <c r="H46" s="13" t="inlineStr">
        <is>
          <t>Zonder rijruimte; geen operationele slotcapaciteit</t>
        </is>
      </c>
    </row>
    <row r="47" ht="31" customHeight="1">
      <c r="A47" s="9" t="inlineStr">
        <is>
          <t>C39</t>
        </is>
      </c>
      <c r="B47" s="13" t="inlineStr">
        <is>
          <t>Ruwe voorraadgrens aparte lege-vakken</t>
        </is>
      </c>
      <c r="C47" s="13" t="inlineStr">
        <is>
          <t>TEU</t>
        </is>
      </c>
      <c r="D47" s="109">
        <f>D46*'Invoer'!D28*'Invoer'!D29</f>
        <v/>
      </c>
      <c r="E47" s="109">
        <f>E46*'Invoer'!E28*'Invoer'!E29</f>
        <v/>
      </c>
      <c r="F47" s="109">
        <f>F46*'Invoer'!F28*'Invoer'!F29</f>
        <v/>
      </c>
      <c r="G47" s="13" t="n"/>
      <c r="H47" s="13" t="inlineStr">
        <is>
          <t>Alleen aparte vakken; dezelfde stapeling als het oude model</t>
        </is>
      </c>
    </row>
    <row r="48" ht="31" customHeight="1">
      <c r="A48" s="9" t="inlineStr">
        <is>
          <t>C40</t>
        </is>
      </c>
      <c r="B48" s="13" t="inlineStr">
        <is>
          <t>Marge aparte lege-vakken</t>
        </is>
      </c>
      <c r="C48" s="13" t="inlineStr">
        <is>
          <t>TEU</t>
        </is>
      </c>
      <c r="D48" s="109">
        <f>D47-D23</f>
        <v/>
      </c>
      <c r="E48" s="109">
        <f>E47-E23</f>
        <v/>
      </c>
      <c r="F48" s="109">
        <f>F47-F23</f>
        <v/>
      </c>
      <c r="G48" s="13" t="n"/>
      <c r="H48" s="13" t="inlineStr">
        <is>
          <t>Tekort kan alleen met extra/gedeelde ruimte of ander onderbouwd regime worden opgelost</t>
        </is>
      </c>
    </row>
    <row r="49" ht="47" customHeight="1">
      <c r="A49" s="9" t="inlineStr">
        <is>
          <t>C41</t>
        </is>
      </c>
      <c r="B49" s="13" t="inlineStr">
        <is>
          <t>Toets aparte lege-vakken</t>
        </is>
      </c>
      <c r="C49" s="13" t="inlineStr">
        <is>
          <t>-</t>
        </is>
      </c>
      <c r="D49" s="111">
        <f>IF(D48&lt;0,"APARTE VAKKEN TE KLEIN","SLOTINDELING NOG TOETSEN")</f>
        <v/>
      </c>
      <c r="E49" s="111">
        <f>IF(E48&lt;0,"APARTE VAKKEN TE KLEIN","SLOTINDELING NOG TOETSEN")</f>
        <v/>
      </c>
      <c r="F49" s="111">
        <f>IF(F48&lt;0,"APARTE VAKKEN TE KLEIN","SLOTINDELING NOG TOETSEN")</f>
        <v/>
      </c>
      <c r="G49" s="13" t="n"/>
      <c r="H49" s="13" t="inlineStr">
        <is>
          <t>Geeft geen goedkeuring van een complete terminal</t>
        </is>
      </c>
    </row>
    <row r="50" ht="31" customHeight="1">
      <c r="A50" s="9" t="inlineStr">
        <is>
          <t>C42</t>
        </is>
      </c>
      <c r="B50" s="13" t="inlineStr">
        <is>
          <t>Referentieoppervlakte lege opslag</t>
        </is>
      </c>
      <c r="C50" s="13" t="inlineStr">
        <is>
          <t>ha</t>
        </is>
      </c>
      <c r="D50" s="109">
        <f>D42*'Invoer'!D30/10000</f>
        <v/>
      </c>
      <c r="E50" s="109">
        <f>E42*'Invoer'!E30/10000</f>
        <v/>
      </c>
      <c r="F50" s="109">
        <f>F42*'Invoer'!F30/10000</f>
        <v/>
      </c>
      <c r="G50" s="13" t="n"/>
      <c r="H50" s="13" t="inlineStr">
        <is>
          <t>Oude 28 m2 per grondslot; niet één-op-één gelijk aan blokoppervlakte</t>
        </is>
      </c>
    </row>
    <row r="51" ht="31" customHeight="1">
      <c r="A51" s="9" t="n"/>
      <c r="B51" s="13" t="n"/>
      <c r="C51" s="13" t="n"/>
      <c r="D51" s="85" t="n"/>
      <c r="E51" s="85" t="n"/>
      <c r="F51" s="85" t="n"/>
      <c r="G51" s="13" t="n"/>
      <c r="H51" s="13" t="n"/>
    </row>
    <row r="52" ht="31" customHeight="1">
      <c r="A52" s="9" t="n"/>
      <c r="B52" s="13" t="n"/>
      <c r="C52" s="13" t="n"/>
      <c r="D52" s="85" t="n"/>
      <c r="E52" s="85" t="n"/>
      <c r="F52" s="85" t="n"/>
      <c r="G52" s="13" t="n"/>
      <c r="H52" s="13" t="n"/>
    </row>
    <row r="53" ht="25" customHeight="1">
      <c r="A53" s="42" t="inlineStr">
        <is>
          <t>Getekende landverbindingen</t>
        </is>
      </c>
      <c r="B53" s="43" t="n"/>
      <c r="C53" s="43" t="n"/>
      <c r="D53" s="87" t="n"/>
      <c r="E53" s="87" t="n"/>
      <c r="F53" s="87" t="n"/>
      <c r="G53" s="43" t="n"/>
      <c r="H53" s="43" t="n"/>
    </row>
    <row r="54" ht="32" customHeight="1">
      <c r="A54" s="49" t="inlineStr">
        <is>
          <t>Ref</t>
        </is>
      </c>
      <c r="B54" s="49" t="inlineStr">
        <is>
          <t>Berekening</t>
        </is>
      </c>
      <c r="C54" s="49" t="inlineStr">
        <is>
          <t>Eenheid</t>
        </is>
      </c>
      <c r="D54" s="89" t="inlineStr">
        <is>
          <t>2025</t>
        </is>
      </c>
      <c r="E54" s="89" t="inlineStr">
        <is>
          <t>2035</t>
        </is>
      </c>
      <c r="F54" s="89" t="inlineStr">
        <is>
          <t>2045</t>
        </is>
      </c>
      <c r="G54" s="49" t="inlineStr">
        <is>
          <t>Status</t>
        </is>
      </c>
      <c r="H54" s="49" t="inlineStr">
        <is>
          <t>Toelichting</t>
        </is>
      </c>
    </row>
    <row r="55" ht="31" customHeight="1">
      <c r="A55" s="9" t="inlineStr">
        <is>
          <t>C43</t>
        </is>
      </c>
      <c r="B55" s="13" t="inlineStr">
        <is>
          <t>Containeropstelsporen</t>
        </is>
      </c>
      <c r="C55" s="13" t="inlineStr">
        <is>
          <t>aantal</t>
        </is>
      </c>
      <c r="D55" s="83">
        <f>'Invoer'!D140</f>
        <v/>
      </c>
      <c r="E55" s="83">
        <f>'Invoer'!E140</f>
        <v/>
      </c>
      <c r="F55" s="83">
        <f>'Invoer'!F140</f>
        <v/>
      </c>
      <c r="G55" s="13" t="n"/>
      <c r="H55" s="13" t="inlineStr">
        <is>
          <t>Eindfaseopstelling; modal split en treinfrequentie ontbreken</t>
        </is>
      </c>
    </row>
    <row r="56" ht="31" customHeight="1">
      <c r="A56" s="9" t="inlineStr">
        <is>
          <t>C44</t>
        </is>
      </c>
      <c r="B56" s="13" t="inlineStr">
        <is>
          <t>Lengte per opstelspoor</t>
        </is>
      </c>
      <c r="C56" s="13" t="inlineStr">
        <is>
          <t>m</t>
        </is>
      </c>
      <c r="D56" s="85">
        <f>'Invoer'!D141</f>
        <v/>
      </c>
      <c r="E56" s="85">
        <f>'Invoer'!E141</f>
        <v/>
      </c>
      <c r="F56" s="85">
        <f>'Invoer'!F141</f>
        <v/>
      </c>
      <c r="G56" s="13" t="n"/>
      <c r="H56" s="13" t="inlineStr">
        <is>
          <t>Gemeten geometrie</t>
        </is>
      </c>
    </row>
    <row r="57" ht="31" customHeight="1">
      <c r="A57" s="9" t="inlineStr">
        <is>
          <t>C45</t>
        </is>
      </c>
      <c r="B57" s="13" t="inlineStr">
        <is>
          <t>Totale opstelspoorlengte</t>
        </is>
      </c>
      <c r="C57" s="13" t="inlineStr">
        <is>
          <t>m</t>
        </is>
      </c>
      <c r="D57" s="85">
        <f>D55*D56</f>
        <v/>
      </c>
      <c r="E57" s="85">
        <f>E55*E56</f>
        <v/>
      </c>
      <c r="F57" s="85">
        <f>F55*F56</f>
        <v/>
      </c>
      <c r="G57" s="13" t="n"/>
      <c r="H57" s="13" t="inlineStr">
        <is>
          <t>Geen jaarlijkse spoorcapaciteit uit alleen spoorlengte afleiden</t>
        </is>
      </c>
    </row>
    <row r="58" ht="31" customHeight="1">
      <c r="A58" s="9" t="inlineStr">
        <is>
          <t>C46</t>
        </is>
      </c>
      <c r="B58" s="13" t="inlineStr">
        <is>
          <t>Gate inkomende posities</t>
        </is>
      </c>
      <c r="C58" s="13" t="inlineStr">
        <is>
          <t>aantal</t>
        </is>
      </c>
      <c r="D58" s="83">
        <f>'Invoer'!D144</f>
        <v/>
      </c>
      <c r="E58" s="83">
        <f>'Invoer'!E144</f>
        <v/>
      </c>
      <c r="F58" s="83">
        <f>'Invoer'!F144</f>
        <v/>
      </c>
      <c r="G58" s="13" t="n"/>
      <c r="H58" s="13" t="inlineStr">
        <is>
          <t>Aantekening in DWG; servicetijd ontbreekt</t>
        </is>
      </c>
    </row>
    <row r="59" ht="31" customHeight="1">
      <c r="A59" s="9" t="inlineStr">
        <is>
          <t>C47</t>
        </is>
      </c>
      <c r="B59" s="13" t="inlineStr">
        <is>
          <t>Gate uitgaande posities</t>
        </is>
      </c>
      <c r="C59" s="13" t="inlineStr">
        <is>
          <t>aantal</t>
        </is>
      </c>
      <c r="D59" s="83">
        <f>'Invoer'!D145</f>
        <v/>
      </c>
      <c r="E59" s="83">
        <f>'Invoer'!E145</f>
        <v/>
      </c>
      <c r="F59" s="83">
        <f>'Invoer'!F145</f>
        <v/>
      </c>
      <c r="G59" s="13" t="n"/>
      <c r="H59" s="13" t="inlineStr">
        <is>
          <t>Piekuren, vrachtwagenbezetting en afhandeling nog nodig</t>
        </is>
      </c>
    </row>
    <row r="60" ht="31" customHeight="1">
      <c r="A60" s="9" t="n"/>
      <c r="B60" s="13" t="n"/>
      <c r="C60" s="13" t="n"/>
      <c r="D60" s="85" t="n"/>
      <c r="E60" s="85" t="n"/>
      <c r="F60" s="85" t="n"/>
      <c r="G60" s="13" t="n"/>
      <c r="H60" s="13" t="n"/>
    </row>
    <row r="61" ht="31" customHeight="1">
      <c r="A61" s="9" t="n"/>
      <c r="B61" s="13" t="n"/>
      <c r="C61" s="13" t="n"/>
      <c r="D61" s="85" t="n"/>
      <c r="E61" s="85" t="n"/>
      <c r="F61" s="85" t="n"/>
      <c r="G61" s="13" t="n"/>
      <c r="H61" s="13" t="n"/>
    </row>
    <row r="62" ht="31" customHeight="1">
      <c r="A62" s="9" t="n"/>
      <c r="B62" s="13" t="n"/>
      <c r="C62" s="13" t="n"/>
      <c r="D62" s="85" t="n"/>
      <c r="E62" s="85" t="n"/>
      <c r="F62" s="85" t="n"/>
      <c r="G62" s="13" t="n"/>
      <c r="H62" s="13" t="n"/>
    </row>
    <row r="63" ht="31" customHeight="1">
      <c r="A63" s="9" t="n"/>
      <c r="B63" s="13" t="n"/>
      <c r="C63" s="13" t="n"/>
      <c r="D63" s="85" t="n"/>
      <c r="E63" s="85" t="n"/>
      <c r="F63" s="85" t="n"/>
      <c r="G63" s="13" t="n"/>
      <c r="H63" s="13" t="n"/>
    </row>
    <row r="64" ht="31" customHeight="1">
      <c r="A64" s="9" t="n"/>
      <c r="B64" s="13" t="n"/>
      <c r="C64" s="13" t="n"/>
      <c r="D64" s="85" t="n"/>
      <c r="E64" s="85" t="n"/>
      <c r="F64" s="85" t="n"/>
      <c r="G64" s="13" t="n"/>
      <c r="H64" s="13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</row>
  </sheetData>
  <conditionalFormatting sqref="D29:F29">
    <cfRule type="cellIs" priority="1" operator="lessThan" dxfId="0">
      <formula>0</formula>
    </cfRule>
  </conditionalFormatting>
  <conditionalFormatting sqref="D40:F40">
    <cfRule type="cellIs" priority="2" operator="lessThan" dxfId="3">
      <formula>0</formula>
    </cfRule>
  </conditionalFormatting>
  <conditionalFormatting sqref="D45:F45">
    <cfRule type="cellIs" priority="3" operator="lessThan" dxfId="3">
      <formula>0</formula>
    </cfRule>
  </conditionalFormatting>
  <conditionalFormatting sqref="D48:F48">
    <cfRule type="cellIs" priority="4" operator="lessThan" dxfId="3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8" customWidth="1" min="1" max="1"/>
    <col width="39" customWidth="1" min="2" max="2"/>
    <col width="18" customWidth="1" min="3" max="3"/>
    <col width="17" customWidth="1" min="4" max="4"/>
    <col width="17" customWidth="1" min="5" max="5"/>
    <col width="17" customWidth="1" min="6" max="6"/>
    <col width="24" customWidth="1" min="7" max="7"/>
    <col width="68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Overige terminals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3" t="n"/>
      <c r="B3" s="3" t="inlineStr">
        <is>
          <t>Actieve LNG-tanks</t>
        </is>
      </c>
      <c r="C3" s="3" t="n"/>
      <c r="D3" s="82">
        <f>'Invoer'!$D$3</f>
        <v/>
      </c>
      <c r="E3" s="3" t="n"/>
      <c r="F3" s="3" t="n"/>
      <c r="G3" s="3" t="n"/>
      <c r="H3" s="3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27" customHeight="1">
      <c r="A5" s="8" t="inlineStr">
        <is>
          <t>Ref</t>
        </is>
      </c>
      <c r="B5" s="8" t="inlineStr">
        <is>
          <t>Berekening</t>
        </is>
      </c>
      <c r="C5" s="8" t="inlineStr">
        <is>
          <t>Eenheid</t>
        </is>
      </c>
      <c r="D5" s="8" t="inlineStr">
        <is>
          <t>2025</t>
        </is>
      </c>
      <c r="E5" s="8" t="inlineStr">
        <is>
          <t>2035</t>
        </is>
      </c>
      <c r="F5" s="8" t="inlineStr">
        <is>
          <t>2045</t>
        </is>
      </c>
      <c r="G5" s="8" t="inlineStr">
        <is>
          <t>Status</t>
        </is>
      </c>
      <c r="H5" s="8" t="inlineStr">
        <is>
          <t>Toelichting</t>
        </is>
      </c>
    </row>
    <row r="6" ht="27" customHeight="1">
      <c r="A6" s="9" t="inlineStr">
        <is>
          <t>T01</t>
        </is>
      </c>
      <c r="B6" s="13" t="inlineStr">
        <is>
          <t>Graancalls afgerond</t>
        </is>
      </c>
      <c r="C6" s="13" t="inlineStr">
        <is>
          <t>calls/jaar</t>
        </is>
      </c>
      <c r="D6" s="85">
        <f>ROUNDUP(Invoer!D7/Invoer!D32,0)</f>
        <v/>
      </c>
      <c r="E6" s="85">
        <f>ROUNDUP(Invoer!E7/Invoer!E32,0)</f>
        <v/>
      </c>
      <c r="F6" s="85">
        <f>ROUNDUP(Invoer!F7/Invoer!F32,0)</f>
        <v/>
      </c>
      <c r="G6" s="9" t="n"/>
      <c r="H6" s="13" t="inlineStr">
        <is>
          <t>65000 ton per call als conceptparcel</t>
        </is>
      </c>
    </row>
    <row r="7" ht="27" customHeight="1">
      <c r="A7" s="9" t="inlineStr">
        <is>
          <t>T02</t>
        </is>
      </c>
      <c r="B7" s="13" t="inlineStr">
        <is>
          <t>Graan ligplaatstijd</t>
        </is>
      </c>
      <c r="C7" s="13" t="inlineStr">
        <is>
          <t>uur/call</t>
        </is>
      </c>
      <c r="D7" s="85">
        <f>Invoer!D32/Invoer!D33+Invoer!D34</f>
        <v/>
      </c>
      <c r="E7" s="85">
        <f>Invoer!E32/Invoer!E33+Invoer!E34</f>
        <v/>
      </c>
      <c r="F7" s="85">
        <f>Invoer!F32/Invoer!F33+Invoer!F34</f>
        <v/>
      </c>
      <c r="G7" s="9" t="n"/>
      <c r="H7" s="13" t="inlineStr">
        <is>
          <t>Bij constante netto beladerproductiviteit</t>
        </is>
      </c>
    </row>
    <row r="8" ht="27" customHeight="1">
      <c r="A8" s="9" t="inlineStr">
        <is>
          <t>T03</t>
        </is>
      </c>
      <c r="B8" s="13" t="inlineStr">
        <is>
          <t>Bezetting één graanligplaats</t>
        </is>
      </c>
      <c r="C8" s="13" t="inlineStr">
        <is>
          <t>deel</t>
        </is>
      </c>
      <c r="D8" s="84">
        <f>D6*D7/(Invoer!D10*24*Invoer!D11)</f>
        <v/>
      </c>
      <c r="E8" s="84">
        <f>E6*E7/(Invoer!E10*24*Invoer!E11)</f>
        <v/>
      </c>
      <c r="F8" s="84">
        <f>F6*F7/(Invoer!F10*24*Invoer!F11)</f>
        <v/>
      </c>
      <c r="G8" s="9" t="n"/>
      <c r="H8" s="13" t="inlineStr">
        <is>
          <t>Piekcampagnes apart toetsen</t>
        </is>
      </c>
    </row>
    <row r="9" ht="27" customHeight="1">
      <c r="A9" s="9" t="inlineStr">
        <is>
          <t>T04</t>
        </is>
      </c>
      <c r="B9" s="13" t="inlineStr">
        <is>
          <t>Graan piekvoorraad</t>
        </is>
      </c>
      <c r="C9" s="13" t="inlineStr">
        <is>
          <t>ton</t>
        </is>
      </c>
      <c r="D9" s="85">
        <f>Invoer!D7*Invoer!D35/Invoer!D10*Invoer!D27</f>
        <v/>
      </c>
      <c r="E9" s="85">
        <f>Invoer!E7*Invoer!E35/Invoer!E10*Invoer!E27</f>
        <v/>
      </c>
      <c r="F9" s="85">
        <f>Invoer!F7*Invoer!F35/Invoer!F10*Invoer!F27</f>
        <v/>
      </c>
      <c r="G9" s="9" t="n"/>
      <c r="H9" s="13" t="inlineStr">
        <is>
          <t>30 dagen met piekfactor 1,25</t>
        </is>
      </c>
    </row>
    <row r="10" ht="27" customHeight="1">
      <c r="A10" s="9" t="inlineStr">
        <is>
          <t>T05</t>
        </is>
      </c>
      <c r="B10" s="13" t="inlineStr">
        <is>
          <t>Graanterreinbehoefte referentiemodel</t>
        </is>
      </c>
      <c r="C10" s="13" t="inlineStr">
        <is>
          <t>ha</t>
        </is>
      </c>
      <c r="D10" s="85">
        <f>D9/Invoer!D36/Invoer!D37*Invoer!D38/10000</f>
        <v/>
      </c>
      <c r="E10" s="85">
        <f>E9/Invoer!E36/Invoer!E37*Invoer!E38/10000</f>
        <v/>
      </c>
      <c r="F10" s="85">
        <f>F9/Invoer!F36/Invoer!F37*Invoer!F38/10000</f>
        <v/>
      </c>
      <c r="G10" s="9" t="n"/>
      <c r="H10" s="13" t="inlineStr">
        <is>
          <t>Oud 8 m terreinmodel; silo’s en loods worden hieronder afzonderlijk beoordeeld.</t>
        </is>
      </c>
    </row>
    <row r="11" ht="27" customHeight="1">
      <c r="A11" s="9" t="inlineStr">
        <is>
          <t>T06</t>
        </is>
      </c>
      <c r="B11" s="13" t="inlineStr">
        <is>
          <t>Graanterrein reservering</t>
        </is>
      </c>
      <c r="C11" s="13" t="inlineStr">
        <is>
          <t>ha</t>
        </is>
      </c>
      <c r="D11" s="85">
        <f>Invoer!D39</f>
        <v/>
      </c>
      <c r="E11" s="85">
        <f>Invoer!E39</f>
        <v/>
      </c>
      <c r="F11" s="85">
        <f>Invoer!F39</f>
        <v/>
      </c>
      <c r="G11" s="9" t="n"/>
      <c r="H11" s="13" t="inlineStr">
        <is>
          <t>Gemeten 30,42 ha hoofdperceel; opslagdeel niet extra optellen</t>
        </is>
      </c>
    </row>
    <row r="12" ht="27" customHeight="1">
      <c r="A12" s="9" t="inlineStr">
        <is>
          <t>T07</t>
        </is>
      </c>
      <c r="B12" s="13" t="inlineStr">
        <is>
          <t>RoRo calls afgerond</t>
        </is>
      </c>
      <c r="C12" s="13" t="inlineStr">
        <is>
          <t>calls/jaar</t>
        </is>
      </c>
      <c r="D12" s="85">
        <f>ROUNDUP(Invoer!D8/Invoer!D40,0)</f>
        <v/>
      </c>
      <c r="E12" s="85">
        <f>ROUNDUP(Invoer!E8/Invoer!E40,0)</f>
        <v/>
      </c>
      <c r="F12" s="85">
        <f>ROUNDUP(Invoer!F8/Invoer!F40,0)</f>
        <v/>
      </c>
      <c r="G12" s="9" t="n"/>
      <c r="H12" s="13" t="inlineStr">
        <is>
          <t>6500 auto/call; lagere parcel geeft meer calls</t>
        </is>
      </c>
    </row>
    <row r="13" ht="27" customHeight="1">
      <c r="A13" s="9" t="inlineStr">
        <is>
          <t>T08</t>
        </is>
      </c>
      <c r="B13" s="13" t="inlineStr">
        <is>
          <t>RoRo ligplaatstijd</t>
        </is>
      </c>
      <c r="C13" s="13" t="inlineStr">
        <is>
          <t>uur/call</t>
        </is>
      </c>
      <c r="D13" s="85">
        <f>Invoer!D40/Invoer!D41+Invoer!D42</f>
        <v/>
      </c>
      <c r="E13" s="85">
        <f>Invoer!E40/Invoer!E41+Invoer!E42</f>
        <v/>
      </c>
      <c r="F13" s="85">
        <f>Invoer!F40/Invoer!F41+Invoer!F42</f>
        <v/>
      </c>
      <c r="G13" s="9" t="n"/>
      <c r="H13" s="13" t="inlineStr">
        <is>
          <t>Netto150 auto/uur als hypothese</t>
        </is>
      </c>
    </row>
    <row r="14" ht="27" customHeight="1">
      <c r="A14" s="9" t="inlineStr">
        <is>
          <t>T09</t>
        </is>
      </c>
      <c r="B14" s="13" t="inlineStr">
        <is>
          <t>Bezetting één RoRo-ligplaats</t>
        </is>
      </c>
      <c r="C14" s="13" t="inlineStr">
        <is>
          <t>deel</t>
        </is>
      </c>
      <c r="D14" s="84">
        <f>D12*D13/(Invoer!D10*24*Invoer!D11)</f>
        <v/>
      </c>
      <c r="E14" s="84">
        <f>E12*E13/(Invoer!E10*24*Invoer!E11)</f>
        <v/>
      </c>
      <c r="F14" s="84">
        <f>F12*F13/(Invoer!F10*24*Invoer!F11)</f>
        <v/>
      </c>
      <c r="G14" s="9" t="n"/>
      <c r="H14" s="13" t="inlineStr">
        <is>
          <t>Rampconflicten nog toetsen</t>
        </is>
      </c>
    </row>
    <row r="15" ht="27" customHeight="1">
      <c r="A15" s="9" t="inlineStr">
        <is>
          <t>T10</t>
        </is>
      </c>
      <c r="B15" s="13" t="inlineStr">
        <is>
          <t>RoRo piekvoorraad</t>
        </is>
      </c>
      <c r="C15" s="13" t="inlineStr">
        <is>
          <t>auto</t>
        </is>
      </c>
      <c r="D15" s="85">
        <f>Invoer!D8*Invoer!D43/Invoer!D10*Invoer!D44</f>
        <v/>
      </c>
      <c r="E15" s="85">
        <f>Invoer!E8*Invoer!E43/Invoer!E10*Invoer!E44</f>
        <v/>
      </c>
      <c r="F15" s="85">
        <f>Invoer!F8*Invoer!F43/Invoer!F10*Invoer!F44</f>
        <v/>
      </c>
      <c r="G15" s="9" t="n"/>
      <c r="H15" s="13" t="n"/>
    </row>
    <row r="16" ht="27" customHeight="1">
      <c r="A16" s="9" t="inlineStr">
        <is>
          <t>T11</t>
        </is>
      </c>
      <c r="B16" s="13" t="inlineStr">
        <is>
          <t>RoRo oppervlakte totaal</t>
        </is>
      </c>
      <c r="C16" s="13" t="inlineStr">
        <is>
          <t>ha</t>
        </is>
      </c>
      <c r="D16" s="85">
        <f>D15*Invoer!D45*Invoer!D31/10000</f>
        <v/>
      </c>
      <c r="E16" s="85">
        <f>E15*Invoer!E45*Invoer!E31/10000</f>
        <v/>
      </c>
      <c r="F16" s="85">
        <f>F15*Invoer!F45*Invoer!F31/10000</f>
        <v/>
      </c>
      <c r="G16" s="9" t="n"/>
      <c r="H16" s="13" t="inlineStr">
        <is>
          <t>30m2 inclusief rijruimte, 20% extra support</t>
        </is>
      </c>
    </row>
    <row r="17" ht="27" customHeight="1">
      <c r="A17" s="9" t="inlineStr">
        <is>
          <t>T12</t>
        </is>
      </c>
      <c r="B17" s="13" t="inlineStr">
        <is>
          <t>RoRo terrein reservering</t>
        </is>
      </c>
      <c r="C17" s="13" t="inlineStr">
        <is>
          <t>ha</t>
        </is>
      </c>
      <c r="D17" s="85">
        <f>Invoer!D46</f>
        <v/>
      </c>
      <c r="E17" s="85">
        <f>Invoer!E46</f>
        <v/>
      </c>
      <c r="F17" s="85">
        <f>Invoer!F46</f>
        <v/>
      </c>
      <c r="G17" s="9" t="n"/>
      <c r="H17" s="13" t="inlineStr">
        <is>
          <t>Gemeten 30,21 ha; toegewezen parkeervlakken apart toetsen</t>
        </is>
      </c>
    </row>
    <row r="18" ht="27" customHeight="1">
      <c r="A18" s="9" t="inlineStr">
        <is>
          <t>T13</t>
        </is>
      </c>
      <c r="B18" s="13" t="inlineStr">
        <is>
          <t>LNG effectieve scheepslading</t>
        </is>
      </c>
      <c r="C18" s="13" t="inlineStr">
        <is>
          <t>m3/call</t>
        </is>
      </c>
      <c r="D18" s="85">
        <f>Invoer!D47*Invoer!D48</f>
        <v/>
      </c>
      <c r="E18" s="85">
        <f>Invoer!E47*Invoer!E48</f>
        <v/>
      </c>
      <c r="F18" s="85">
        <f>Invoer!F47*Invoer!F48</f>
        <v/>
      </c>
      <c r="G18" s="9" t="n"/>
      <c r="H18" s="13" t="inlineStr">
        <is>
          <t>Reguliere vloot; geen MOZAH</t>
        </is>
      </c>
    </row>
    <row r="19" ht="27" customHeight="1">
      <c r="A19" s="9" t="inlineStr">
        <is>
          <t>T14</t>
        </is>
      </c>
      <c r="B19" s="13" t="inlineStr">
        <is>
          <t>LNG calls afgerond</t>
        </is>
      </c>
      <c r="C19" s="13" t="inlineStr">
        <is>
          <t>calls/jaar</t>
        </is>
      </c>
      <c r="D19" s="85">
        <f>ROUNDUP(Invoer!D9/D18,0)</f>
        <v/>
      </c>
      <c r="E19" s="85">
        <f>ROUNDUP(Invoer!E9/E18,0)</f>
        <v/>
      </c>
      <c r="F19" s="85">
        <f>ROUNDUP(Invoer!F9/F18,0)</f>
        <v/>
      </c>
      <c r="G19" s="9" t="n"/>
      <c r="H19" s="13" t="inlineStr">
        <is>
          <t>Afgeronde calls voor berthbezetting</t>
        </is>
      </c>
    </row>
    <row r="20" ht="27" customHeight="1">
      <c r="A20" s="9" t="inlineStr">
        <is>
          <t>T15</t>
        </is>
      </c>
      <c r="B20" s="13" t="inlineStr">
        <is>
          <t>LNG ligplaatstijd</t>
        </is>
      </c>
      <c r="C20" s="13" t="inlineStr">
        <is>
          <t>uur/call</t>
        </is>
      </c>
      <c r="D20" s="85">
        <f>D18/Invoer!D49+Invoer!D50</f>
        <v/>
      </c>
      <c r="E20" s="85">
        <f>E18/Invoer!E49+Invoer!E50</f>
        <v/>
      </c>
      <c r="F20" s="85">
        <f>F18/Invoer!F49+Invoer!F50</f>
        <v/>
      </c>
      <c r="G20" s="9" t="n"/>
      <c r="H20" s="13" t="inlineStr">
        <is>
          <t>10000m3/uur + 8 uur overige tijd</t>
        </is>
      </c>
    </row>
    <row r="21" ht="27" customHeight="1">
      <c r="A21" s="9" t="inlineStr">
        <is>
          <t>T16</t>
        </is>
      </c>
      <c r="B21" s="13" t="inlineStr">
        <is>
          <t>Bezetting één LNG-steiger</t>
        </is>
      </c>
      <c r="C21" s="13" t="inlineStr">
        <is>
          <t>deel</t>
        </is>
      </c>
      <c r="D21" s="84">
        <f>D19*D20/(Invoer!D10*24*Invoer!D11)</f>
        <v/>
      </c>
      <c r="E21" s="84">
        <f>E19*E20/(Invoer!E10*24*Invoer!E11)</f>
        <v/>
      </c>
      <c r="F21" s="84">
        <f>F19*F20/(Invoer!F10*24*Invoer!F11)</f>
        <v/>
      </c>
      <c r="G21" s="9" t="n"/>
      <c r="H21" s="13" t="inlineStr">
        <is>
          <t>Geen LNG-operability of QRA-bewijs</t>
        </is>
      </c>
    </row>
    <row r="22" ht="27" customHeight="1">
      <c r="A22" s="9" t="inlineStr">
        <is>
          <t>T17</t>
        </is>
      </c>
      <c r="B22" s="13" t="inlineStr">
        <is>
          <t>Nominale LNG-opslag</t>
        </is>
      </c>
      <c r="C22" s="13" t="inlineStr">
        <is>
          <t>m3</t>
        </is>
      </c>
      <c r="D22" s="85">
        <f>Invoer!D51*Invoer!D52</f>
        <v/>
      </c>
      <c r="E22" s="85">
        <f>Invoer!E51*Invoer!E52</f>
        <v/>
      </c>
      <c r="F22" s="85">
        <f>Invoer!F51*Invoer!F52</f>
        <v/>
      </c>
      <c r="G22" s="9" t="n"/>
      <c r="H22" s="13" t="inlineStr">
        <is>
          <t>Actieve tankkeuze in Invoer D3; aantal nog te bevestigen</t>
        </is>
      </c>
    </row>
    <row r="23" ht="27" customHeight="1">
      <c r="A23" s="9" t="inlineStr">
        <is>
          <t>T18</t>
        </is>
      </c>
      <c r="B23" s="13" t="inlineStr">
        <is>
          <t>Operationele opslagband</t>
        </is>
      </c>
      <c r="C23" s="13" t="inlineStr">
        <is>
          <t>m3</t>
        </is>
      </c>
      <c r="D23" s="85">
        <f>D22*(Invoer!D54-Invoer!D53)</f>
        <v/>
      </c>
      <c r="E23" s="85">
        <f>E22*(Invoer!E54-Invoer!E53)</f>
        <v/>
      </c>
      <c r="F23" s="85">
        <f>F22*(Invoer!F54-Invoer!F53)</f>
        <v/>
      </c>
      <c r="G23" s="9" t="n"/>
      <c r="H23" s="13" t="inlineStr">
        <is>
          <t>Tussen 10% en90% vulling, totaal80% nominaal</t>
        </is>
      </c>
    </row>
    <row r="24" ht="27" customHeight="1">
      <c r="A24" s="9" t="inlineStr">
        <is>
          <t>T19</t>
        </is>
      </c>
      <c r="B24" s="13" t="inlineStr">
        <is>
          <t>Buffer plus ontvangstruimte</t>
        </is>
      </c>
      <c r="C24" s="13" t="inlineStr">
        <is>
          <t>m3</t>
        </is>
      </c>
      <c r="D24" s="85">
        <f>Invoer!D9/Invoer!D10*Invoer!D55+D18</f>
        <v/>
      </c>
      <c r="E24" s="85">
        <f>Invoer!E9/Invoer!E10*Invoer!E55+E18</f>
        <v/>
      </c>
      <c r="F24" s="85">
        <f>Invoer!F9/Invoer!F10*Invoer!F55+F18</f>
        <v/>
      </c>
      <c r="G24" s="9" t="n"/>
      <c r="H24" s="13" t="inlineStr">
        <is>
          <t>7 dagen gemiddelde vraag + volledige scheepsparcel</t>
        </is>
      </c>
    </row>
    <row r="25" ht="27" customHeight="1">
      <c r="A25" s="9" t="inlineStr">
        <is>
          <t>T20</t>
        </is>
      </c>
      <c r="B25" s="13" t="inlineStr">
        <is>
          <t>Opslagmarge</t>
        </is>
      </c>
      <c r="C25" s="13" t="inlineStr">
        <is>
          <t>m3</t>
        </is>
      </c>
      <c r="D25" s="85">
        <f>D23-D24</f>
        <v/>
      </c>
      <c r="E25" s="85">
        <f>E23-E24</f>
        <v/>
      </c>
      <c r="F25" s="85">
        <f>F23-F24</f>
        <v/>
      </c>
      <c r="G25" s="9" t="n"/>
      <c r="H25" s="13" t="inlineStr">
        <is>
          <t>Positief vereist onder gekozen voorraadbeleid</t>
        </is>
      </c>
    </row>
    <row r="26" ht="27" customHeight="1">
      <c r="A26" s="9" t="inlineStr">
        <is>
          <t>T21</t>
        </is>
      </c>
      <c r="B26" s="13" t="inlineStr">
        <is>
          <t>Opslagband bij één tank uit</t>
        </is>
      </c>
      <c r="C26" s="13" t="inlineStr">
        <is>
          <t>m3</t>
        </is>
      </c>
      <c r="D26" s="85">
        <f>MAX(0,Invoer!D51-1)*Invoer!D52*(Invoer!D54-Invoer!D53)</f>
        <v/>
      </c>
      <c r="E26" s="85">
        <f>MAX(0,Invoer!E51-1)*Invoer!E52*(Invoer!E54-Invoer!E53)</f>
        <v/>
      </c>
      <c r="F26" s="85">
        <f>MAX(0,Invoer!F51-1)*Invoer!F52*(Invoer!F54-Invoer!F53)</f>
        <v/>
      </c>
      <c r="G26" s="9" t="n"/>
      <c r="H26" s="13" t="inlineStr">
        <is>
          <t>N-1 toets; operationele eis nog te kiezen</t>
        </is>
      </c>
    </row>
    <row r="27" ht="27" customHeight="1">
      <c r="A27" s="9" t="inlineStr">
        <is>
          <t>T22</t>
        </is>
      </c>
      <c r="B27" s="13" t="inlineStr">
        <is>
          <t>Marge bij één tank uit</t>
        </is>
      </c>
      <c r="C27" s="13" t="inlineStr">
        <is>
          <t>m3</t>
        </is>
      </c>
      <c r="D27" s="85">
        <f>D26-D24</f>
        <v/>
      </c>
      <c r="E27" s="85">
        <f>E26-E24</f>
        <v/>
      </c>
      <c r="F27" s="85">
        <f>F26-F24</f>
        <v/>
      </c>
      <c r="G27" s="9" t="n"/>
      <c r="H27" s="13" t="inlineStr">
        <is>
          <t>Negatief vraagt lager bufferbeleid of extra tank</t>
        </is>
      </c>
    </row>
    <row r="28" ht="27" customHeight="1">
      <c r="A28" s="9" t="inlineStr">
        <is>
          <t>T23</t>
        </is>
      </c>
      <c r="B28" s="13" t="inlineStr">
        <is>
          <t>Gas naar regionaal systeem</t>
        </is>
      </c>
      <c r="C28" s="13" t="inlineStr">
        <is>
          <t>Nm3/jaar</t>
        </is>
      </c>
      <c r="D28" s="85">
        <f>Invoer!D9*Invoer!D56</f>
        <v/>
      </c>
      <c r="E28" s="85">
        <f>Invoer!E9*Invoer!E56</f>
        <v/>
      </c>
      <c r="F28" s="85">
        <f>Invoer!F9*Invoer!F56</f>
        <v/>
      </c>
      <c r="G28" s="9" t="n"/>
      <c r="H28" s="13" t="inlineStr">
        <is>
          <t>Inclusief gas richting centrale; geen extra gasproductie</t>
        </is>
      </c>
    </row>
    <row r="29" ht="27" customHeight="1">
      <c r="A29" s="9" t="inlineStr">
        <is>
          <t>T24</t>
        </is>
      </c>
      <c r="B29" s="13" t="inlineStr">
        <is>
          <t>Elektriciteitsproductie voorbeeld</t>
        </is>
      </c>
      <c r="C29" s="13" t="inlineStr">
        <is>
          <t>MWh/jaar</t>
        </is>
      </c>
      <c r="D29" s="85">
        <f>Invoer!D9*Invoer!D57*Invoer!D58*Invoer!D59</f>
        <v/>
      </c>
      <c r="E29" s="85">
        <f>Invoer!E9*Invoer!E57*Invoer!E58*Invoer!E59</f>
        <v/>
      </c>
      <c r="F29" s="85">
        <f>Invoer!F9*Invoer!F57*Invoer!F58*Invoer!F59</f>
        <v/>
      </c>
      <c r="G29" s="9" t="n"/>
      <c r="H29" s="13" t="inlineStr">
        <is>
          <t>50% LNG naar centrale, rendement60% als rekenvoorbeeld</t>
        </is>
      </c>
    </row>
    <row r="30" ht="27" customHeight="1">
      <c r="A30" s="9" t="inlineStr">
        <is>
          <t>T25</t>
        </is>
      </c>
      <c r="B30" s="13" t="inlineStr">
        <is>
          <t>Centrale eindcapaciteit voorbeeld</t>
        </is>
      </c>
      <c r="C30" s="13" t="inlineStr">
        <is>
          <t>MW</t>
        </is>
      </c>
      <c r="D30" s="85">
        <f>Invoer!F9*Invoer!F57*Invoer!F58*Invoer!F59/(Invoer!F10*24*Invoer!F60)</f>
        <v/>
      </c>
      <c r="E30" s="85">
        <f>Invoer!F9*Invoer!F57*Invoer!F58*Invoer!F59/(Invoer!F10*24*Invoer!F60)</f>
        <v/>
      </c>
      <c r="F30" s="85">
        <f>Invoer!F9*Invoer!F57*Invoer!F58*Invoer!F59/(Invoer!F10*24*Invoer!F60)</f>
        <v/>
      </c>
      <c r="G30" s="9" t="n"/>
      <c r="H30" s="13" t="inlineStr">
        <is>
          <t>Oppervlakte centrale gemeten; 50% LNG-toedeling blijft rekenvoorbeeld</t>
        </is>
      </c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</row>
    <row r="33">
      <c r="A33" s="20" t="inlineStr">
        <is>
          <t>Verkeer voor hoofdgeul en verkeersplanning</t>
        </is>
      </c>
      <c r="B33" s="20" t="n"/>
      <c r="C33" s="20" t="n"/>
      <c r="D33" s="20" t="n"/>
      <c r="E33" s="20" t="n"/>
      <c r="F33" s="20" t="n"/>
      <c r="G33" s="20" t="n"/>
      <c r="H33" s="20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</row>
    <row r="35">
      <c r="A35" s="1" t="n"/>
      <c r="B35" s="21" t="inlineStr">
        <is>
          <t>Aanlopen alle ladingstromen</t>
        </is>
      </c>
      <c r="C35" s="21" t="inlineStr">
        <is>
          <t>calls/jaar</t>
        </is>
      </c>
      <c r="D35" s="112">
        <f>Containers!D9+D6+D12+D19</f>
        <v/>
      </c>
      <c r="E35" s="112">
        <f>Containers!E9+E6+E12+E19</f>
        <v/>
      </c>
      <c r="F35" s="112">
        <f>Containers!F9+F6+F12+F19</f>
        <v/>
      </c>
      <c r="G35" s="1" t="n"/>
      <c r="H35" s="1" t="n"/>
    </row>
    <row r="36">
      <c r="A36" s="1" t="n"/>
      <c r="B36" s="21" t="inlineStr">
        <is>
          <t>Aankomst plus vertrek</t>
        </is>
      </c>
      <c r="C36" s="21" t="inlineStr">
        <is>
          <t>bewegingen/jaar</t>
        </is>
      </c>
      <c r="D36" s="112">
        <f>2*D35</f>
        <v/>
      </c>
      <c r="E36" s="112">
        <f>2*E35</f>
        <v/>
      </c>
      <c r="F36" s="112">
        <f>2*F35</f>
        <v/>
      </c>
      <c r="G36" s="1" t="n"/>
      <c r="H36" s="1" t="n"/>
    </row>
    <row r="37">
      <c r="A37" s="1" t="n"/>
      <c r="B37" s="21" t="inlineStr">
        <is>
          <t>Gemiddelde geulbewegingen</t>
        </is>
      </c>
      <c r="C37" s="21" t="inlineStr">
        <is>
          <t>per dag</t>
        </is>
      </c>
      <c r="D37" s="112">
        <f>D36/Invoer!D10</f>
        <v/>
      </c>
      <c r="E37" s="112">
        <f>E36/Invoer!E10</f>
        <v/>
      </c>
      <c r="F37" s="112">
        <f>F36/Invoer!F10</f>
        <v/>
      </c>
      <c r="G37" s="1" t="n"/>
      <c r="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</row>
    <row r="40" ht="25" customHeight="1">
      <c r="A40" s="42" t="inlineStr">
        <is>
          <t>Graan indicatief opslagmodel bij de aangegeven silohoogte</t>
        </is>
      </c>
      <c r="B40" s="43" t="n"/>
      <c r="C40" s="43" t="n"/>
      <c r="D40" s="87" t="n"/>
      <c r="E40" s="87" t="n"/>
      <c r="F40" s="87" t="n"/>
      <c r="G40" s="43" t="n"/>
      <c r="H40" s="43" t="n"/>
    </row>
    <row r="41" ht="32" customHeight="1">
      <c r="A41" s="49" t="inlineStr">
        <is>
          <t>Ref</t>
        </is>
      </c>
      <c r="B41" s="49" t="inlineStr">
        <is>
          <t>Berekening</t>
        </is>
      </c>
      <c r="C41" s="49" t="inlineStr">
        <is>
          <t>Eenheid</t>
        </is>
      </c>
      <c r="D41" s="89" t="inlineStr">
        <is>
          <t>2025</t>
        </is>
      </c>
      <c r="E41" s="89" t="inlineStr">
        <is>
          <t>2035</t>
        </is>
      </c>
      <c r="F41" s="89" t="inlineStr">
        <is>
          <t>2045</t>
        </is>
      </c>
      <c r="G41" s="49" t="inlineStr">
        <is>
          <t>Status</t>
        </is>
      </c>
      <c r="H41" s="49" t="inlineStr">
        <is>
          <t>Toelichting</t>
        </is>
      </c>
    </row>
    <row r="42" ht="31" customHeight="1">
      <c r="A42" s="9" t="inlineStr">
        <is>
          <t>T26</t>
        </is>
      </c>
      <c r="B42" s="13" t="inlineStr">
        <is>
          <t>Aantal silo’s</t>
        </is>
      </c>
      <c r="C42" s="13" t="inlineStr">
        <is>
          <t>aantal</t>
        </is>
      </c>
      <c r="D42" s="110">
        <f>'Invoer'!D125</f>
        <v/>
      </c>
      <c r="E42" s="110">
        <f>'Invoer'!E125</f>
        <v/>
      </c>
      <c r="F42" s="110">
        <f>'Invoer'!F125</f>
        <v/>
      </c>
      <c r="G42" s="13" t="n"/>
      <c r="H42" s="13" t="inlineStr">
        <is>
          <t>Geteld in tekening</t>
        </is>
      </c>
    </row>
    <row r="43" ht="31" customHeight="1">
      <c r="A43" s="9" t="inlineStr">
        <is>
          <t>T27</t>
        </is>
      </c>
      <c r="B43" s="13" t="inlineStr">
        <is>
          <t>Nominale diameter</t>
        </is>
      </c>
      <c r="C43" s="13" t="inlineStr">
        <is>
          <t>m</t>
        </is>
      </c>
      <c r="D43" s="109">
        <f>'Invoer'!D126</f>
        <v/>
      </c>
      <c r="E43" s="109">
        <f>'Invoer'!E126</f>
        <v/>
      </c>
      <c r="F43" s="109">
        <f>'Invoer'!F126</f>
        <v/>
      </c>
      <c r="G43" s="13" t="n"/>
      <c r="H43" s="13" t="inlineStr">
        <is>
          <t>Nominale 30 m uit de aantekening</t>
        </is>
      </c>
    </row>
    <row r="44" ht="31" customHeight="1">
      <c r="A44" s="9" t="inlineStr">
        <is>
          <t>T28</t>
        </is>
      </c>
      <c r="B44" s="13" t="inlineStr">
        <is>
          <t>Aangegeven hoogte</t>
        </is>
      </c>
      <c r="C44" s="13" t="inlineStr">
        <is>
          <t>m</t>
        </is>
      </c>
      <c r="D44" s="109">
        <f>'Invoer'!D127</f>
        <v/>
      </c>
      <c r="E44" s="109">
        <f>'Invoer'!E127</f>
        <v/>
      </c>
      <c r="F44" s="109">
        <f>'Invoer'!F127</f>
        <v/>
      </c>
      <c r="G44" s="13" t="n"/>
      <c r="H44" s="13" t="inlineStr">
        <is>
          <t>Nog niet als volledige bruikbare cilinderhoogte bevestigd</t>
        </is>
      </c>
    </row>
    <row r="45" ht="31" customHeight="1">
      <c r="A45" s="9" t="inlineStr">
        <is>
          <t>T29</t>
        </is>
      </c>
      <c r="B45" s="13" t="inlineStr">
        <is>
          <t>Bruto cilindervolume silo’s</t>
        </is>
      </c>
      <c r="C45" s="13" t="inlineStr">
        <is>
          <t>m3</t>
        </is>
      </c>
      <c r="D45" s="109">
        <f>D42*PI()*D43^2/4*D44</f>
        <v/>
      </c>
      <c r="E45" s="109">
        <f>E42*PI()*E43^2/4*E44</f>
        <v/>
      </c>
      <c r="F45" s="109">
        <f>F42*PI()*F43^2/4*F44</f>
        <v/>
      </c>
      <c r="G45" s="13" t="n"/>
      <c r="H45" s="13" t="inlineStr">
        <is>
          <t>Geometrisch scenario; constructiehoogte kan afwijken van opslaghoogte</t>
        </is>
      </c>
    </row>
    <row r="46" ht="31" customHeight="1">
      <c r="A46" s="9" t="inlineStr">
        <is>
          <t>T30</t>
        </is>
      </c>
      <c r="B46" s="13" t="inlineStr">
        <is>
          <t>Bruto massa in silocilinders</t>
        </is>
      </c>
      <c r="C46" s="13" t="inlineStr">
        <is>
          <t>ton</t>
        </is>
      </c>
      <c r="D46" s="109">
        <f>D45*'Invoer'!D36</f>
        <v/>
      </c>
      <c r="E46" s="109">
        <f>E45*'Invoer'!E36</f>
        <v/>
      </c>
      <c r="F46" s="109">
        <f>F45*'Invoer'!F36</f>
        <v/>
      </c>
      <c r="G46" s="13" t="n"/>
      <c r="H46" s="13" t="inlineStr">
        <is>
          <t>Graandichtheid uit bestaande invoer</t>
        </is>
      </c>
    </row>
    <row r="47" ht="31" customHeight="1">
      <c r="A47" s="9" t="inlineStr">
        <is>
          <t>T31</t>
        </is>
      </c>
      <c r="B47" s="13" t="inlineStr">
        <is>
          <t>Indicatieve massa bij gekozen vulfactor</t>
        </is>
      </c>
      <c r="C47" s="13" t="inlineStr">
        <is>
          <t>ton</t>
        </is>
      </c>
      <c r="D47" s="109">
        <f>D46*'Invoer'!D128</f>
        <v/>
      </c>
      <c r="E47" s="109">
        <f>E46*'Invoer'!E128</f>
        <v/>
      </c>
      <c r="F47" s="109">
        <f>F46*'Invoer'!F128</f>
        <v/>
      </c>
      <c r="G47" s="13" t="n"/>
      <c r="H47" s="13" t="inlineStr">
        <is>
          <t>Bij 40 m cilinder en 90% benutting; geen leverancierscapaciteit</t>
        </is>
      </c>
    </row>
    <row r="48" ht="31" customHeight="1">
      <c r="A48" s="9" t="inlineStr">
        <is>
          <t>T32</t>
        </is>
      </c>
      <c r="B48" s="13" t="inlineStr">
        <is>
          <t>Marge silo’s tegen piekvoorraad</t>
        </is>
      </c>
      <c r="C48" s="13" t="inlineStr">
        <is>
          <t>ton</t>
        </is>
      </c>
      <c r="D48" s="109">
        <f>D47-D9</f>
        <v/>
      </c>
      <c r="E48" s="109">
        <f>E47-E9</f>
        <v/>
      </c>
      <c r="F48" s="109">
        <f>F47-F9</f>
        <v/>
      </c>
      <c r="G48" s="13" t="n"/>
      <c r="H48" s="13" t="inlineStr">
        <is>
          <t>Negatief betekent extra opslag of andere bewezen capaciteit nodig</t>
        </is>
      </c>
    </row>
    <row r="49" ht="31" customHeight="1">
      <c r="A49" s="9" t="inlineStr">
        <is>
          <t>T33</t>
        </is>
      </c>
      <c r="B49" s="13" t="inlineStr">
        <is>
          <t>Aanvullende loodsvoorraad nodig</t>
        </is>
      </c>
      <c r="C49" s="13" t="inlineStr">
        <is>
          <t>ton</t>
        </is>
      </c>
      <c r="D49" s="109">
        <f>MAX(0,-D48)</f>
        <v/>
      </c>
      <c r="E49" s="109">
        <f>MAX(0,-E48)</f>
        <v/>
      </c>
      <c r="F49" s="109">
        <f>MAX(0,-F48)</f>
        <v/>
      </c>
      <c r="G49" s="13" t="n"/>
      <c r="H49" s="13" t="inlineStr">
        <is>
          <t>Binnen dit indicatieve siloscenario</t>
        </is>
      </c>
    </row>
    <row r="50" ht="31" customHeight="1">
      <c r="A50" s="9" t="inlineStr">
        <is>
          <t>T34</t>
        </is>
      </c>
      <c r="B50" s="13" t="inlineStr">
        <is>
          <t>Voetafdruk opslagloods</t>
        </is>
      </c>
      <c r="C50" s="13" t="inlineStr">
        <is>
          <t>m2</t>
        </is>
      </c>
      <c r="D50" s="109">
        <f>'Invoer'!D129</f>
        <v/>
      </c>
      <c r="E50" s="109">
        <f>'Invoer'!E129</f>
        <v/>
      </c>
      <c r="F50" s="109">
        <f>'Invoer'!F129</f>
        <v/>
      </c>
      <c r="G50" s="13" t="n"/>
      <c r="H50" s="13" t="inlineStr">
        <is>
          <t>Gemeten bouwvlak; werkelijke opslagvloer nog bepalen</t>
        </is>
      </c>
    </row>
    <row r="51" ht="31" customHeight="1">
      <c r="A51" s="9" t="inlineStr">
        <is>
          <t>T35</t>
        </is>
      </c>
      <c r="B51" s="13" t="inlineStr">
        <is>
          <t>Bruikbare opslaghoogte loods</t>
        </is>
      </c>
      <c r="C51" s="13" t="inlineStr">
        <is>
          <t>m</t>
        </is>
      </c>
      <c r="D51" s="109">
        <f>IF(COUNT('Invoer'!D130)=1,'Invoer'!D130,"n.a.")</f>
        <v/>
      </c>
      <c r="E51" s="109">
        <f>IF(COUNT('Invoer'!E130)=1,'Invoer'!E130,"n.a.")</f>
        <v/>
      </c>
      <c r="F51" s="109">
        <f>IF(COUNT('Invoer'!F130)=1,'Invoer'!F130,"n.a.")</f>
        <v/>
      </c>
      <c r="G51" s="13" t="n"/>
      <c r="H51" s="13" t="inlineStr">
        <is>
          <t>Gele invoer ontbreekt nog</t>
        </is>
      </c>
    </row>
    <row r="52" ht="31" customHeight="1">
      <c r="A52" s="9" t="inlineStr">
        <is>
          <t>T36</t>
        </is>
      </c>
      <c r="B52" s="13" t="inlineStr">
        <is>
          <t>Bruikbaar deel loodsvloer</t>
        </is>
      </c>
      <c r="C52" s="13" t="inlineStr">
        <is>
          <t>deel</t>
        </is>
      </c>
      <c r="D52" s="113">
        <f>IF(COUNT('Invoer'!D131)=1,'Invoer'!D131,"n.a.")</f>
        <v/>
      </c>
      <c r="E52" s="113">
        <f>IF(COUNT('Invoer'!E131)=1,'Invoer'!E131,"n.a.")</f>
        <v/>
      </c>
      <c r="F52" s="113">
        <f>IF(COUNT('Invoer'!F131)=1,'Invoer'!F131,"n.a.")</f>
        <v/>
      </c>
      <c r="G52" s="13" t="n"/>
      <c r="H52" s="13" t="inlineStr">
        <is>
          <t>Gele invoer ontbreekt nog</t>
        </is>
      </c>
    </row>
    <row r="53" ht="31" customHeight="1">
      <c r="A53" s="9" t="inlineStr">
        <is>
          <t>T37</t>
        </is>
      </c>
      <c r="B53" s="13" t="inlineStr">
        <is>
          <t>Capaciteit vlakke opslagloods</t>
        </is>
      </c>
      <c r="C53" s="13" t="inlineStr">
        <is>
          <t>ton</t>
        </is>
      </c>
      <c r="D53" s="109">
        <f>IF(COUNT(D50:D52)=3,D50*D51*D52*'Invoer'!D36,"n.a.")</f>
        <v/>
      </c>
      <c r="E53" s="109">
        <f>IF(COUNT(E50:E52)=3,E50*E51*E52*'Invoer'!E36,"n.a.")</f>
        <v/>
      </c>
      <c r="F53" s="109">
        <f>IF(COUNT(F50:F52)=3,F50*F51*F52*'Invoer'!F36,"n.a.")</f>
        <v/>
      </c>
      <c r="G53" s="13" t="n"/>
      <c r="H53" s="13" t="inlineStr">
        <is>
          <t>Geen stille aanname voor vrije hoogte en benutting</t>
        </is>
      </c>
    </row>
    <row r="54" ht="31" customHeight="1">
      <c r="A54" s="9" t="inlineStr">
        <is>
          <t>T38</t>
        </is>
      </c>
      <c r="B54" s="13" t="inlineStr">
        <is>
          <t>Silo’s plus loods indicatief</t>
        </is>
      </c>
      <c r="C54" s="13" t="inlineStr">
        <is>
          <t>ton</t>
        </is>
      </c>
      <c r="D54" s="109">
        <f>IF(COUNT(D47,D53)=2,SUM(D47,D53),"n.a.")</f>
        <v/>
      </c>
      <c r="E54" s="109">
        <f>IF(COUNT(E47,E53)=2,SUM(E47,E53),"n.a.")</f>
        <v/>
      </c>
      <c r="F54" s="109">
        <f>IF(COUNT(F47,F53)=2,SUM(F47,F53),"n.a.")</f>
        <v/>
      </c>
      <c r="G54" s="13" t="n"/>
      <c r="H54" s="13" t="inlineStr">
        <is>
          <t>Blijft afhankelijk van bevestiging silo- en loodsgegevens</t>
        </is>
      </c>
    </row>
    <row r="55" ht="31" customHeight="1">
      <c r="A55" s="9" t="inlineStr">
        <is>
          <t>T39</t>
        </is>
      </c>
      <c r="B55" s="13" t="inlineStr">
        <is>
          <t>Marge totale graanopslag</t>
        </is>
      </c>
      <c r="C55" s="13" t="inlineStr">
        <is>
          <t>ton</t>
        </is>
      </c>
      <c r="D55" s="109">
        <f>IF(COUNT(D54)=1,D54-D9,"n.a.")</f>
        <v/>
      </c>
      <c r="E55" s="109">
        <f>IF(COUNT(E54)=1,E54-E9,"n.a.")</f>
        <v/>
      </c>
      <c r="F55" s="109">
        <f>IF(COUNT(F54)=1,F54-F9,"n.a.")</f>
        <v/>
      </c>
      <c r="G55" s="13" t="n"/>
      <c r="H55" s="13" t="inlineStr">
        <is>
          <t>Tegen dezelfde case-piekvoorraad</t>
        </is>
      </c>
    </row>
    <row r="56" ht="45" customHeight="1">
      <c r="A56" s="9" t="inlineStr">
        <is>
          <t>T40</t>
        </is>
      </c>
      <c r="B56" s="13" t="inlineStr">
        <is>
          <t>Status graanopslagmodel</t>
        </is>
      </c>
      <c r="C56" s="13" t="inlineStr">
        <is>
          <t>-</t>
        </is>
      </c>
      <c r="D56" s="111">
        <f>IF(COUNT(D55)=1,IF(D55&gt;=0,"VOLDOET INDICATIEF","OPSLAGTEKORT"),"LOODS INVULLEN")</f>
        <v/>
      </c>
      <c r="E56" s="111">
        <f>IF(COUNT(E55)=1,IF(E55&gt;=0,"VOLDOET INDICATIEF","OPSLAGTEKORT"),"LOODS INVULLEN")</f>
        <v/>
      </c>
      <c r="F56" s="111">
        <f>IF(COUNT(F55)=1,IF(F55&gt;=0,"VOLDOET INDICATIEF","OPSLAGTEKORT"),"LOODS INVULLEN")</f>
        <v/>
      </c>
      <c r="G56" s="13" t="n"/>
      <c r="H56" s="13" t="inlineStr">
        <is>
          <t>Hoogte uit aantekening blijft onbevestigd</t>
        </is>
      </c>
    </row>
    <row r="57" ht="31" customHeight="1">
      <c r="A57" s="9" t="n"/>
      <c r="B57" s="13" t="n"/>
      <c r="C57" s="13" t="n"/>
      <c r="D57" s="109" t="n"/>
      <c r="E57" s="109" t="n"/>
      <c r="F57" s="109" t="n"/>
      <c r="G57" s="13" t="n"/>
      <c r="H57" s="13" t="n"/>
    </row>
    <row r="58" ht="25" customHeight="1">
      <c r="A58" s="42" t="inlineStr">
        <is>
          <t>RoRo parkeren volgens de getekende vlakken</t>
        </is>
      </c>
      <c r="B58" s="43" t="n"/>
      <c r="C58" s="43" t="n"/>
      <c r="D58" s="114" t="n"/>
      <c r="E58" s="114" t="n"/>
      <c r="F58" s="114" t="n"/>
      <c r="G58" s="43" t="n"/>
      <c r="H58" s="43" t="n"/>
    </row>
    <row r="59" ht="32" customHeight="1">
      <c r="A59" s="49" t="inlineStr">
        <is>
          <t>Ref</t>
        </is>
      </c>
      <c r="B59" s="49" t="inlineStr">
        <is>
          <t>Berekening</t>
        </is>
      </c>
      <c r="C59" s="49" t="inlineStr">
        <is>
          <t>Eenheid</t>
        </is>
      </c>
      <c r="D59" s="115" t="inlineStr">
        <is>
          <t>2025</t>
        </is>
      </c>
      <c r="E59" s="115" t="inlineStr">
        <is>
          <t>2035</t>
        </is>
      </c>
      <c r="F59" s="115" t="inlineStr">
        <is>
          <t>2045</t>
        </is>
      </c>
      <c r="G59" s="49" t="inlineStr">
        <is>
          <t>Status</t>
        </is>
      </c>
      <c r="H59" s="49" t="inlineStr">
        <is>
          <t>Toelichting</t>
        </is>
      </c>
    </row>
    <row r="60" ht="31" customHeight="1">
      <c r="A60" s="9" t="inlineStr">
        <is>
          <t>T41</t>
        </is>
      </c>
      <c r="B60" s="13" t="inlineStr">
        <is>
          <t>RoRo hoofdterrein</t>
        </is>
      </c>
      <c r="C60" s="13" t="inlineStr">
        <is>
          <t>ha</t>
        </is>
      </c>
      <c r="D60" s="109">
        <f>'Invoer'!D46</f>
        <v/>
      </c>
      <c r="E60" s="109">
        <f>'Invoer'!E46</f>
        <v/>
      </c>
      <c r="F60" s="109">
        <f>'Invoer'!F46</f>
        <v/>
      </c>
      <c r="G60" s="13" t="n"/>
      <c r="H60" s="13" t="inlineStr">
        <is>
          <t>Volledig getekend perceel</t>
        </is>
      </c>
    </row>
    <row r="61" ht="31" customHeight="1">
      <c r="A61" s="9" t="inlineStr">
        <is>
          <t>T42</t>
        </is>
      </c>
      <c r="B61" s="13" t="inlineStr">
        <is>
          <t>Marge totaal terrein</t>
        </is>
      </c>
      <c r="C61" s="13" t="inlineStr">
        <is>
          <t>ha</t>
        </is>
      </c>
      <c r="D61" s="109">
        <f>D60-D16</f>
        <v/>
      </c>
      <c r="E61" s="109">
        <f>E60-E16</f>
        <v/>
      </c>
      <c r="F61" s="109">
        <f>F60-F16</f>
        <v/>
      </c>
      <c r="G61" s="13" t="n"/>
      <c r="H61" s="13" t="inlineStr">
        <is>
          <t>Alleen bruto terreinmodel</t>
        </is>
      </c>
    </row>
    <row r="62" ht="31" customHeight="1">
      <c r="A62" s="9" t="inlineStr">
        <is>
          <t>T43</t>
        </is>
      </c>
      <c r="B62" s="13" t="inlineStr">
        <is>
          <t>Aangewezen parkeervlakken</t>
        </is>
      </c>
      <c r="C62" s="13" t="inlineStr">
        <is>
          <t>m2</t>
        </is>
      </c>
      <c r="D62" s="109">
        <f>'Invoer'!D114</f>
        <v/>
      </c>
      <c r="E62" s="109">
        <f>'Invoer'!E114</f>
        <v/>
      </c>
      <c r="F62" s="109">
        <f>'Invoer'!F114</f>
        <v/>
      </c>
      <c r="G62" s="13" t="n"/>
      <c r="H62" s="13" t="inlineStr">
        <is>
          <t>7 vlakken binnen het RoRo-perceel</t>
        </is>
      </c>
    </row>
    <row r="63" ht="31" customHeight="1">
      <c r="A63" s="9" t="inlineStr">
        <is>
          <t>T44</t>
        </is>
      </c>
      <c r="B63" s="13" t="inlineStr">
        <is>
          <t>Plaatsen in aangewezen vakken (netto norm)</t>
        </is>
      </c>
      <c r="C63" s="13" t="inlineStr">
        <is>
          <t>auto</t>
        </is>
      </c>
      <c r="D63" s="110">
        <f>ROUNDDOWN(D62/'Invoer'!D148,0)</f>
        <v/>
      </c>
      <c r="E63" s="110">
        <f>ROUNDDOWN(E62/'Invoer'!E148,0)</f>
        <v/>
      </c>
      <c r="F63" s="110">
        <f>ROUNDDOWN(F62/'Invoer'!F148,0)</f>
        <v/>
      </c>
      <c r="G63" s="13" t="n"/>
      <c r="H63" s="13" t="inlineStr">
        <is>
          <t>Netto 12,5 m2 per auto (Invoer D148); was 30 m2 incl. rijruimte, wat de vakken dubbel corrigeerde</t>
        </is>
      </c>
    </row>
    <row r="64" ht="31" customHeight="1">
      <c r="A64" s="9" t="inlineStr">
        <is>
          <t>T45</t>
        </is>
      </c>
      <c r="B64" s="13" t="inlineStr">
        <is>
          <t>Benodigde plaatsen bij piekvoorraad</t>
        </is>
      </c>
      <c r="C64" s="13" t="inlineStr">
        <is>
          <t>auto</t>
        </is>
      </c>
      <c r="D64" s="110">
        <f>ROUNDUP(D15,0)</f>
        <v/>
      </c>
      <c r="E64" s="110">
        <f>ROUNDUP(E15,0)</f>
        <v/>
      </c>
      <c r="F64" s="110">
        <f>ROUNDUP(F15,0)</f>
        <v/>
      </c>
      <c r="G64" s="13" t="n"/>
      <c r="H64" s="13" t="inlineStr">
        <is>
          <t>Voorraad naar boven afgerond op hele auto’s</t>
        </is>
      </c>
    </row>
    <row r="65" ht="31" customHeight="1">
      <c r="A65" s="9" t="inlineStr">
        <is>
          <t>T46</t>
        </is>
      </c>
      <c r="B65" s="13" t="inlineStr">
        <is>
          <t>Marge aangewezen parkeervlakken</t>
        </is>
      </c>
      <c r="C65" s="13" t="inlineStr">
        <is>
          <t>auto</t>
        </is>
      </c>
      <c r="D65" s="110">
        <f>D63-D64</f>
        <v/>
      </c>
      <c r="E65" s="110">
        <f>E63-E64</f>
        <v/>
      </c>
      <c r="F65" s="110">
        <f>F63-F64</f>
        <v/>
      </c>
      <c r="G65" s="13" t="n"/>
      <c r="H65" s="13" t="inlineStr">
        <is>
          <t>Andere definities vragen een echte telling van parkeervakken</t>
        </is>
      </c>
    </row>
    <row r="66" ht="31" customHeight="1">
      <c r="A66" s="9" t="inlineStr">
        <is>
          <t>T47</t>
        </is>
      </c>
      <c r="B66" s="13" t="inlineStr">
        <is>
          <t>Beschikbare m2 per benodigde auto</t>
        </is>
      </c>
      <c r="C66" s="13" t="inlineStr">
        <is>
          <t>m2/auto</t>
        </is>
      </c>
      <c r="D66" s="109">
        <f>D62/D64</f>
        <v/>
      </c>
      <c r="E66" s="109">
        <f>E62/E64</f>
        <v/>
      </c>
      <c r="F66" s="109">
        <f>F62/F64</f>
        <v/>
      </c>
      <c r="G66" s="13" t="n"/>
      <c r="H66" s="13" t="inlineStr">
        <is>
          <t>Vergelijk met 30 m2 uit bestaande norm</t>
        </is>
      </c>
    </row>
    <row r="67" ht="46" customHeight="1">
      <c r="A67" s="9" t="inlineStr">
        <is>
          <t>T48</t>
        </is>
      </c>
      <c r="B67" s="13" t="inlineStr">
        <is>
          <t>Toets parkeeroppervlakte</t>
        </is>
      </c>
      <c r="C67" s="13" t="inlineStr">
        <is>
          <t>-</t>
        </is>
      </c>
      <c r="D67" s="111">
        <f>IF(D65&gt;=0,"VOLDOET INDICATIEF","PARKEERCAPACITEIT TEKORT")</f>
        <v/>
      </c>
      <c r="E67" s="111">
        <f>IF(E65&gt;=0,"VOLDOET INDICATIEF","PARKEERCAPACITEIT TEKORT")</f>
        <v/>
      </c>
      <c r="F67" s="111">
        <f>IF(F65&gt;=0,"VOLDOET INDICATIEF","PARKEERCAPACITEIT TEKORT")</f>
        <v/>
      </c>
      <c r="G67" s="13" t="n"/>
      <c r="H67" s="13" t="inlineStr">
        <is>
          <t>Geen aanname dat rest van perceel automatisch parkeerterrein is</t>
        </is>
      </c>
    </row>
    <row r="68" ht="31" customHeight="1">
      <c r="A68" s="9" t="n"/>
      <c r="B68" s="13" t="n"/>
      <c r="C68" s="13" t="n"/>
      <c r="D68" s="109" t="n"/>
      <c r="E68" s="109" t="n"/>
      <c r="F68" s="109" t="n"/>
      <c r="G68" s="13" t="n"/>
      <c r="H68" s="13" t="n"/>
    </row>
    <row r="69" ht="25" customHeight="1">
      <c r="A69" s="42" t="inlineStr">
        <is>
          <t>LNG en centrale volgens de tekening</t>
        </is>
      </c>
      <c r="B69" s="43" t="n"/>
      <c r="C69" s="43" t="n"/>
      <c r="D69" s="114" t="n"/>
      <c r="E69" s="114" t="n"/>
      <c r="F69" s="114" t="n"/>
      <c r="G69" s="43" t="n"/>
      <c r="H69" s="43" t="n"/>
    </row>
    <row r="70" ht="32" customHeight="1">
      <c r="A70" s="49" t="inlineStr">
        <is>
          <t>Ref</t>
        </is>
      </c>
      <c r="B70" s="49" t="inlineStr">
        <is>
          <t>Berekening</t>
        </is>
      </c>
      <c r="C70" s="49" t="inlineStr">
        <is>
          <t>Eenheid</t>
        </is>
      </c>
      <c r="D70" s="115" t="inlineStr">
        <is>
          <t>2025</t>
        </is>
      </c>
      <c r="E70" s="115" t="inlineStr">
        <is>
          <t>2035</t>
        </is>
      </c>
      <c r="F70" s="115" t="inlineStr">
        <is>
          <t>2045</t>
        </is>
      </c>
      <c r="G70" s="49" t="inlineStr">
        <is>
          <t>Status</t>
        </is>
      </c>
      <c r="H70" s="49" t="inlineStr">
        <is>
          <t>Toelichting</t>
        </is>
      </c>
    </row>
    <row r="71" ht="31" customHeight="1">
      <c r="A71" s="9" t="inlineStr">
        <is>
          <t>T49</t>
        </is>
      </c>
      <c r="B71" s="13" t="inlineStr">
        <is>
          <t>LNG hoofdterrein</t>
        </is>
      </c>
      <c r="C71" s="13" t="inlineStr">
        <is>
          <t>ha</t>
        </is>
      </c>
      <c r="D71" s="109">
        <f>'Invoer'!D115</f>
        <v/>
      </c>
      <c r="E71" s="109">
        <f>'Invoer'!E115</f>
        <v/>
      </c>
      <c r="F71" s="109">
        <f>'Invoer'!F115</f>
        <v/>
      </c>
      <c r="G71" s="13" t="n"/>
      <c r="H71" s="13" t="inlineStr">
        <is>
          <t>Geen risicoafstand of procescapaciteit uit oppervlak afleiden</t>
        </is>
      </c>
    </row>
    <row r="72" ht="31" customHeight="1">
      <c r="A72" s="9" t="inlineStr">
        <is>
          <t>T50</t>
        </is>
      </c>
      <c r="B72" s="13" t="inlineStr">
        <is>
          <t>Tankcirkels in hoofdlaag</t>
        </is>
      </c>
      <c r="C72" s="13" t="inlineStr">
        <is>
          <t>aantal</t>
        </is>
      </c>
      <c r="D72" s="110">
        <f>'Invoer'!D133</f>
        <v/>
      </c>
      <c r="E72" s="110">
        <f>'Invoer'!E133</f>
        <v/>
      </c>
      <c r="F72" s="110">
        <f>'Invoer'!F133</f>
        <v/>
      </c>
      <c r="G72" s="13" t="n"/>
      <c r="H72" s="13" t="inlineStr">
        <is>
          <t>Bronweergave is onafhankelijk van actieve modelkeuze</t>
        </is>
      </c>
    </row>
    <row r="73" ht="31" customHeight="1">
      <c r="A73" s="9" t="inlineStr">
        <is>
          <t>T51</t>
        </is>
      </c>
      <c r="B73" s="13" t="inlineStr">
        <is>
          <t>Uitgewerkte tankopstellingen</t>
        </is>
      </c>
      <c r="C73" s="13" t="inlineStr">
        <is>
          <t>aantal</t>
        </is>
      </c>
      <c r="D73" s="110">
        <f>'Invoer'!D134</f>
        <v/>
      </c>
      <c r="E73" s="110">
        <f>'Invoer'!E134</f>
        <v/>
      </c>
      <c r="F73" s="110">
        <f>'Invoer'!F134</f>
        <v/>
      </c>
      <c r="G73" s="13" t="n"/>
      <c r="H73" s="13" t="inlineStr">
        <is>
          <t>Vierde cirkel mist uitgewerkt tankdetail</t>
        </is>
      </c>
    </row>
    <row r="74" ht="31" customHeight="1">
      <c r="A74" s="9" t="inlineStr">
        <is>
          <t>T52</t>
        </is>
      </c>
      <c r="B74" s="13" t="inlineStr">
        <is>
          <t>Actief aantal tanks in model</t>
        </is>
      </c>
      <c r="C74" s="13" t="inlineStr">
        <is>
          <t>aantal</t>
        </is>
      </c>
      <c r="D74" s="110">
        <f>'Invoer'!D51</f>
        <v/>
      </c>
      <c r="E74" s="110">
        <f>'Invoer'!E51</f>
        <v/>
      </c>
      <c r="F74" s="110">
        <f>'Invoer'!F51</f>
        <v/>
      </c>
      <c r="G74" s="13" t="n"/>
      <c r="H74" s="13" t="inlineStr">
        <is>
          <t>Voorlopige keuze in Invoer D3</t>
        </is>
      </c>
    </row>
    <row r="75" ht="31" customHeight="1">
      <c r="A75" s="9" t="inlineStr">
        <is>
          <t>T53</t>
        </is>
      </c>
      <c r="B75" s="13" t="inlineStr">
        <is>
          <t>Lengte LNG-ligplaatsenvelop</t>
        </is>
      </c>
      <c r="C75" s="13" t="inlineStr">
        <is>
          <t>m</t>
        </is>
      </c>
      <c r="D75" s="109">
        <f>'Invoer'!D135</f>
        <v/>
      </c>
      <c r="E75" s="109">
        <f>'Invoer'!E135</f>
        <v/>
      </c>
      <c r="F75" s="109">
        <f>'Invoer'!F135</f>
        <v/>
      </c>
      <c r="G75" s="13" t="n"/>
      <c r="H75" s="13" t="inlineStr">
        <is>
          <t>400 m is ruimtereservering, niet kadefront</t>
        </is>
      </c>
    </row>
    <row r="76" ht="31" customHeight="1">
      <c r="A76" s="9" t="inlineStr">
        <is>
          <t>T54</t>
        </is>
      </c>
      <c r="B76" s="13" t="inlineStr">
        <is>
          <t>Breedte LNG-ligplaatsenvelop</t>
        </is>
      </c>
      <c r="C76" s="13" t="inlineStr">
        <is>
          <t>m</t>
        </is>
      </c>
      <c r="D76" s="109">
        <f>'Invoer'!D136</f>
        <v/>
      </c>
      <c r="E76" s="109">
        <f>'Invoer'!E136</f>
        <v/>
      </c>
      <c r="F76" s="109">
        <f>'Invoer'!F136</f>
        <v/>
      </c>
      <c r="G76" s="13" t="n"/>
      <c r="H76" s="13" t="inlineStr">
        <is>
          <t>Envelop is geen bewezen vrije manoeuvreerruimte</t>
        </is>
      </c>
    </row>
    <row r="77" ht="45" customHeight="1">
      <c r="A77" s="9" t="inlineStr">
        <is>
          <t>T55</t>
        </is>
      </c>
      <c r="B77" s="13" t="inlineStr">
        <is>
          <t>Toets opslag bij één tank uit</t>
        </is>
      </c>
      <c r="C77" s="13" t="inlineStr">
        <is>
          <t>-</t>
        </is>
      </c>
      <c r="D77" s="111">
        <f>IF(D27&gt;=0,"VOLDOET REKENKUNDIG","N-1 OPSLAGTEKORT")</f>
        <v/>
      </c>
      <c r="E77" s="111">
        <f>IF(E27&gt;=0,"VOLDOET REKENKUNDIG","N-1 OPSLAGTEKORT")</f>
        <v/>
      </c>
      <c r="F77" s="111">
        <f>IF(F27&gt;=0,"VOLDOET REKENKUNDIG","N-1 OPSLAGTEKORT")</f>
        <v/>
      </c>
      <c r="G77" s="13" t="n"/>
      <c r="H77" s="13" t="inlineStr">
        <is>
          <t>Geldt alleen voor geselecteerd tankaantal en voorraadbeleid</t>
        </is>
      </c>
    </row>
    <row r="78" ht="31" customHeight="1">
      <c r="A78" s="9" t="inlineStr">
        <is>
          <t>T56</t>
        </is>
      </c>
      <c r="B78" s="13" t="inlineStr">
        <is>
          <t>Centrale en utilities</t>
        </is>
      </c>
      <c r="C78" s="13" t="inlineStr">
        <is>
          <t>ha</t>
        </is>
      </c>
      <c r="D78" s="109">
        <f>'Invoer'!D116</f>
        <v/>
      </c>
      <c r="E78" s="109">
        <f>'Invoer'!E116</f>
        <v/>
      </c>
      <c r="F78" s="109">
        <f>'Invoer'!F116</f>
        <v/>
      </c>
      <c r="G78" s="13" t="n"/>
      <c r="H78" s="13" t="inlineStr">
        <is>
          <t>Vermogen blijft apart te kiezen; bestaand energievoorbeeld niet vastgesteld</t>
        </is>
      </c>
    </row>
    <row r="79" ht="31" customHeight="1">
      <c r="A79" s="9" t="inlineStr">
        <is>
          <t>T57</t>
        </is>
      </c>
      <c r="B79" s="13" t="inlineStr">
        <is>
          <t>Hervergassingseenheden</t>
        </is>
      </c>
      <c r="C79" s="13" t="inlineStr">
        <is>
          <t>aantal</t>
        </is>
      </c>
      <c r="D79" s="110">
        <f>'Invoer'!D137</f>
        <v/>
      </c>
      <c r="E79" s="110">
        <f>'Invoer'!E137</f>
        <v/>
      </c>
      <c r="F79" s="110">
        <f>'Invoer'!F137</f>
        <v/>
      </c>
      <c r="G79" s="13" t="n"/>
      <c r="H79" s="13" t="inlineStr">
        <is>
          <t>Aantekening 4 x 33%</t>
        </is>
      </c>
    </row>
    <row r="80" ht="31" customHeight="1">
      <c r="A80" s="9" t="inlineStr">
        <is>
          <t>T58</t>
        </is>
      </c>
      <c r="B80" s="13" t="inlineStr">
        <is>
          <t>Nominaal aandeel bij één uit</t>
        </is>
      </c>
      <c r="C80" s="13" t="inlineStr">
        <is>
          <t>deel</t>
        </is>
      </c>
      <c r="D80" s="113">
        <f>MAX(0,D79-1)*'Invoer'!D138</f>
        <v/>
      </c>
      <c r="E80" s="113">
        <f>MAX(0,E79-1)*'Invoer'!E138</f>
        <v/>
      </c>
      <c r="F80" s="113">
        <f>MAX(0,F79-1)*'Invoer'!F138</f>
        <v/>
      </c>
      <c r="G80" s="13" t="n"/>
      <c r="H80" s="13" t="inlineStr">
        <is>
          <t>99% uit afgeronde 33%-aandelen is geen gegarandeerde capaciteit</t>
        </is>
      </c>
    </row>
    <row r="81" ht="31" customHeight="1">
      <c r="A81" s="9" t="inlineStr">
        <is>
          <t>T59</t>
        </is>
      </c>
      <c r="B81" s="13" t="inlineStr">
        <is>
          <t>Gemiddelde LNG-doorzet per uur</t>
        </is>
      </c>
      <c r="C81" s="13" t="inlineStr">
        <is>
          <t>m3 LNG/uur</t>
        </is>
      </c>
      <c r="D81" s="109">
        <f>'Invoer'!D9/('Invoer'!D10*24)</f>
        <v/>
      </c>
      <c r="E81" s="109">
        <f>'Invoer'!E9/('Invoer'!E10*24)</f>
        <v/>
      </c>
      <c r="F81" s="109">
        <f>'Invoer'!F9/('Invoer'!F10*24)</f>
        <v/>
      </c>
      <c r="G81" s="13" t="n"/>
      <c r="H81" s="13" t="inlineStr">
        <is>
          <t>Jaargemiddelde; piekuurvraag niet gegeven</t>
        </is>
      </c>
    </row>
    <row r="82" ht="31" customHeight="1">
      <c r="A82" s="9" t="inlineStr">
        <is>
          <t>T60</t>
        </is>
      </c>
      <c r="B82" s="13" t="inlineStr">
        <is>
          <t>Capaciteit per regas-eenheid</t>
        </is>
      </c>
      <c r="C82" s="13" t="inlineStr">
        <is>
          <t>m3 LNG/uur</t>
        </is>
      </c>
      <c r="D82" s="109">
        <f>IF(COUNT('Invoer'!D139)=1,'Invoer'!D139,"n.a.")</f>
        <v/>
      </c>
      <c r="E82" s="109">
        <f>IF(COUNT('Invoer'!E139)=1,'Invoer'!E139,"n.a.")</f>
        <v/>
      </c>
      <c r="F82" s="109">
        <f>IF(COUNT('Invoer'!F139)=1,'Invoer'!F139,"n.a.")</f>
        <v/>
      </c>
      <c r="G82" s="13" t="n"/>
      <c r="H82" s="13" t="inlineStr">
        <is>
          <t>Absolute capaciteit niet uit 33% afleiden</t>
        </is>
      </c>
    </row>
    <row r="83" ht="31" customHeight="1">
      <c r="A83" s="9" t="inlineStr">
        <is>
          <t>T61</t>
        </is>
      </c>
      <c r="B83" s="13" t="inlineStr">
        <is>
          <t>Regascapaciteit bij één uit</t>
        </is>
      </c>
      <c r="C83" s="13" t="inlineStr">
        <is>
          <t>m3 LNG/uur</t>
        </is>
      </c>
      <c r="D83" s="109">
        <f>IF(COUNT(D82)=1,MAX(0,D79-1)*D82,"n.a.")</f>
        <v/>
      </c>
      <c r="E83" s="109">
        <f>IF(COUNT(E82)=1,MAX(0,E79-1)*E82,"n.a.")</f>
        <v/>
      </c>
      <c r="F83" s="109">
        <f>IF(COUNT(F82)=1,MAX(0,F79-1)*F82,"n.a.")</f>
        <v/>
      </c>
      <c r="G83" s="13" t="n"/>
      <c r="H83" s="13" t="inlineStr">
        <is>
          <t>Onderhoudsscenario; LNG-equivalent</t>
        </is>
      </c>
    </row>
    <row r="84" ht="31" customHeight="1">
      <c r="A84" s="9" t="inlineStr">
        <is>
          <t>T62</t>
        </is>
      </c>
      <c r="B84" s="13" t="inlineStr">
        <is>
          <t>Marge regas tegen jaargemiddelde</t>
        </is>
      </c>
      <c r="C84" s="13" t="inlineStr">
        <is>
          <t>m3 LNG/uur</t>
        </is>
      </c>
      <c r="D84" s="109">
        <f>IF(COUNT(D83)=1,D83-D81,"n.a.")</f>
        <v/>
      </c>
      <c r="E84" s="109">
        <f>IF(COUNT(E83)=1,E83-E81,"n.a.")</f>
        <v/>
      </c>
      <c r="F84" s="109">
        <f>IF(COUNT(F83)=1,F83-F81,"n.a.")</f>
        <v/>
      </c>
      <c r="G84" s="13" t="n"/>
      <c r="H84" s="13" t="inlineStr">
        <is>
          <t>Piek- en procesontwerp blijven afzonderlijk nodig</t>
        </is>
      </c>
    </row>
    <row r="85" ht="31" customHeight="1">
      <c r="A85" s="9" t="n"/>
      <c r="B85" s="13" t="n"/>
      <c r="C85" s="13" t="n"/>
      <c r="D85" s="85" t="n"/>
      <c r="E85" s="85" t="n"/>
      <c r="F85" s="85" t="n"/>
      <c r="G85" s="13" t="n"/>
      <c r="H85" s="13" t="n"/>
    </row>
    <row r="86" ht="31" customHeight="1">
      <c r="A86" s="9" t="n"/>
      <c r="B86" s="13" t="n"/>
      <c r="C86" s="13" t="n"/>
      <c r="D86" s="85" t="n"/>
      <c r="E86" s="85" t="n"/>
      <c r="F86" s="85" t="n"/>
      <c r="G86" s="13" t="n"/>
      <c r="H86" s="13" t="n"/>
    </row>
    <row r="87" ht="31" customHeight="1">
      <c r="A87" s="9" t="n"/>
      <c r="B87" s="13" t="n"/>
      <c r="C87" s="13" t="n"/>
      <c r="D87" s="85" t="n"/>
      <c r="E87" s="85" t="n"/>
      <c r="F87" s="85" t="n"/>
      <c r="G87" s="13" t="n"/>
      <c r="H87" s="13" t="n"/>
    </row>
    <row r="88" ht="31" customHeight="1">
      <c r="A88" s="9" t="n"/>
      <c r="B88" s="13" t="n"/>
      <c r="C88" s="13" t="n"/>
      <c r="D88" s="85" t="n"/>
      <c r="E88" s="85" t="n"/>
      <c r="F88" s="85" t="n"/>
      <c r="G88" s="13" t="n"/>
      <c r="H88" s="13" t="n"/>
    </row>
    <row r="89" ht="31" customHeight="1">
      <c r="A89" s="9" t="n"/>
      <c r="B89" s="13" t="n"/>
      <c r="C89" s="13" t="n"/>
      <c r="D89" s="85" t="n"/>
      <c r="E89" s="85" t="n"/>
      <c r="F89" s="85" t="n"/>
      <c r="G89" s="13" t="n"/>
      <c r="H89" s="13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</row>
  </sheetData>
  <conditionalFormatting sqref="D27:F27">
    <cfRule type="cellIs" priority="1" operator="lessThan" dxfId="0">
      <formula>0</formula>
    </cfRule>
  </conditionalFormatting>
  <conditionalFormatting sqref="D48:F48">
    <cfRule type="cellIs" priority="2" operator="lessThan" dxfId="3">
      <formula>0</formula>
    </cfRule>
  </conditionalFormatting>
  <conditionalFormatting sqref="D55:F55">
    <cfRule type="cellIs" priority="3" operator="lessThan" dxfId="3">
      <formula>0</formula>
    </cfRule>
  </conditionalFormatting>
  <conditionalFormatting sqref="D65:F65">
    <cfRule type="cellIs" priority="4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8" customWidth="1" min="1" max="1"/>
    <col width="39" customWidth="1" min="2" max="2"/>
    <col width="18" customWidth="1" min="3" max="3"/>
    <col width="17" customWidth="1" min="4" max="4"/>
    <col width="17" customWidth="1" min="5" max="5"/>
    <col width="17" customWidth="1" min="6" max="6"/>
    <col width="24" customWidth="1" min="7" max="7"/>
    <col width="68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Grondwerk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3" t="n"/>
      <c r="B3" s="3" t="inlineStr">
        <is>
          <t>Actieve LNG-tanks</t>
        </is>
      </c>
      <c r="C3" s="3" t="n"/>
      <c r="D3" s="82">
        <f>'Invoer'!$D$3</f>
        <v/>
      </c>
      <c r="E3" s="3" t="n"/>
      <c r="F3" s="3" t="n"/>
      <c r="G3" s="3" t="n"/>
      <c r="H3" s="3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32" customHeight="1">
      <c r="A5" s="49" t="inlineStr">
        <is>
          <t>Zone</t>
        </is>
      </c>
      <c r="B5" s="49" t="inlineStr">
        <is>
          <t>Baggervak</t>
        </is>
      </c>
      <c r="C5" s="49" t="inlineStr">
        <is>
          <t>Oppervlakte m2</t>
        </is>
      </c>
      <c r="D5" s="89" t="inlineStr">
        <is>
          <t>Bestaande diepte m</t>
        </is>
      </c>
      <c r="E5" s="89" t="inlineStr">
        <is>
          <t>Ontwerpdiepte m</t>
        </is>
      </c>
      <c r="F5" s="89" t="inlineStr">
        <is>
          <t>Volume m3</t>
        </is>
      </c>
      <c r="G5" s="49" t="inlineStr">
        <is>
          <t>Status</t>
        </is>
      </c>
      <c r="H5" s="49" t="inlineStr">
        <is>
          <t>Geometrie en beperking</t>
        </is>
      </c>
    </row>
    <row r="6" ht="55" customHeight="1">
      <c r="A6" s="9" t="inlineStr">
        <is>
          <t>G1</t>
        </is>
      </c>
      <c r="B6" s="13" t="inlineStr">
        <is>
          <t>Buitengeul (tot geuleinde)</t>
        </is>
      </c>
      <c r="C6" s="116" t="n">
        <v>4558615.25</v>
      </c>
      <c r="D6" s="101" t="n">
        <v>13.97</v>
      </c>
      <c r="E6" s="85">
        <f>'Invoer'!D101</f>
        <v/>
      </c>
      <c r="F6" s="85">
        <f>IF(COUNT(C6:E6)=3,C6*MAX(0,E6-D6),"")</f>
        <v/>
      </c>
      <c r="G6" s="13">
        <f>IF(COUNT(C6,E6)&lt;2,"CONTOUR OF DIEPTE KIEZEN",IF(COUNT(D6)&lt;1,"BODEMGEGEVENS ONTBREKEN","VOORLOPIGE SCHATTING"))</f>
        <v/>
      </c>
      <c r="H6" s="13" t="inlineStr">
        <is>
          <t>Bodemmodel: zone 2 (tot DHN -15, 17,25 km) 3,90 km2 gem. 13,51 m; zone 3 0,66 km2 gem. 16,71 m</t>
        </is>
      </c>
    </row>
    <row r="7" ht="55" customHeight="1">
      <c r="A7" s="9" t="inlineStr">
        <is>
          <t>G2</t>
        </is>
      </c>
      <c r="B7" s="13" t="inlineStr">
        <is>
          <t>Voorhaven en buitenste draaikom</t>
        </is>
      </c>
      <c r="C7" s="116" t="n">
        <v>902302.78</v>
      </c>
      <c r="D7" s="101" t="n">
        <v>0.75</v>
      </c>
      <c r="E7" s="85">
        <f>'Invoer'!D101</f>
        <v/>
      </c>
      <c r="F7" s="85">
        <f>IF(COUNT(C7:E7)=3,C7*MAX(0,E7-D7),"")</f>
        <v/>
      </c>
      <c r="G7" s="13">
        <f>IF(COUNT(C7,E7)&lt;2,"CONTOUR OF DIEPTE KIEZEN",IF(COUNT(D7)&lt;1,"BODEMGEGEVENS ONTBREKEN","VOORLOPIGE SCHATTING"))</f>
        <v/>
      </c>
      <c r="H7" s="13" t="inlineStr">
        <is>
          <t>Bodemmodel: gem. 0,75 m diep (strand en strandwal deels boven MLWS)</t>
        </is>
      </c>
    </row>
    <row r="8" ht="55" customHeight="1">
      <c r="A8" s="9" t="inlineStr">
        <is>
          <t>G3</t>
        </is>
      </c>
      <c r="B8" s="13" t="inlineStr">
        <is>
          <t>Hoofdbekken + zwaaiplaats netto</t>
        </is>
      </c>
      <c r="C8" s="116">
        <f>'Invoer'!D146-'Invoer'!D147</f>
        <v/>
      </c>
      <c r="D8" s="101" t="n">
        <v>-6.89</v>
      </c>
      <c r="E8" s="85">
        <f>'Invoer'!D101</f>
        <v/>
      </c>
      <c r="F8" s="85">
        <f>IF(COUNT(C8:E8)=3,C8*MAX(0,E8-D8),"")</f>
        <v/>
      </c>
      <c r="G8" s="13">
        <f>IF(COUNT(C8,E8)&lt;2,"CONTOUR OF DIEPTE KIEZEN",IF(COUNT(D8)&lt;1,"BODEMGEGEVENS ONTBREKEN","VOORLOPIGE SCHATTING"))</f>
        <v/>
      </c>
      <c r="H8" s="13" t="inlineStr">
        <is>
          <t>Negatief = land boven MLWS (ontgraven); DEM incl. begroeiing</t>
        </is>
      </c>
    </row>
    <row r="9" ht="55" customHeight="1">
      <c r="A9" s="9" t="inlineStr">
        <is>
          <t>G4</t>
        </is>
      </c>
      <c r="B9" s="13" t="inlineStr">
        <is>
          <t>LNG-vaarweg</t>
        </is>
      </c>
      <c r="C9" s="116" t="n">
        <v>379594.82</v>
      </c>
      <c r="D9" s="101" t="n">
        <v>2.48</v>
      </c>
      <c r="E9" s="85">
        <f>'Invoer'!D102</f>
        <v/>
      </c>
      <c r="F9" s="85">
        <f>IF(COUNT(C9:E9)=3,C9*MAX(0,E9-D9),"")</f>
        <v/>
      </c>
      <c r="G9" s="13">
        <f>IF(COUNT(C9,E9)&lt;2,"CONTOUR OF DIEPTE KIEZEN",IF(COUNT(D9)&lt;1,"BODEMGEGEVENS ONTBREKEN","VOORLOPIGE SCHATTING"))</f>
        <v/>
      </c>
      <c r="H9" s="13" t="inlineStr">
        <is>
          <t>Bodemmodel: gem. 2,48 m diep</t>
        </is>
      </c>
    </row>
    <row r="10" ht="55" customHeight="1">
      <c r="A10" s="9" t="inlineStr">
        <is>
          <t>G5</t>
        </is>
      </c>
      <c r="B10" s="13" t="inlineStr">
        <is>
          <t>Insteek F2</t>
        </is>
      </c>
      <c r="C10" s="116" t="n">
        <v>222247.6</v>
      </c>
      <c r="D10" s="101" t="n">
        <v>-5.94</v>
      </c>
      <c r="E10" s="85">
        <f>'Invoer'!D101</f>
        <v/>
      </c>
      <c r="F10" s="85">
        <f>IF(COUNT(C10:E10)=3,C10*MAX(0,E10-D10),"")</f>
        <v/>
      </c>
      <c r="G10" s="13">
        <f>IF(COUNT(C10,E10)&lt;2,"CONTOUR OF DIEPTE KIEZEN",IF(COUNT(D10)&lt;1,"BODEMGEGEVENS ONTBREKEN","VOORLOPIGE SCHATTING"))</f>
        <v/>
      </c>
      <c r="H10" s="13" t="inlineStr">
        <is>
          <t>Land, gem. +5,94 m</t>
        </is>
      </c>
    </row>
    <row r="11" ht="55" customHeight="1">
      <c r="A11" s="9" t="inlineStr">
        <is>
          <t>G6</t>
        </is>
      </c>
      <c r="B11" s="13" t="inlineStr">
        <is>
          <t>Insteek F3</t>
        </is>
      </c>
      <c r="C11" s="116" t="n">
        <v>230404.4</v>
      </c>
      <c r="D11" s="101" t="n">
        <v>-6.5</v>
      </c>
      <c r="E11" s="85">
        <f>'Invoer'!D101</f>
        <v/>
      </c>
      <c r="F11" s="85">
        <f>IF(COUNT(C11:E11)=3,C11*MAX(0,E11-D11),"")</f>
        <v/>
      </c>
      <c r="G11" s="13">
        <f>IF(COUNT(C11,E11)&lt;2,"CONTOUR OF DIEPTE KIEZEN",IF(COUNT(D11)&lt;1,"BODEMGEGEVENS ONTBREKEN","VOORLOPIGE SCHATTING"))</f>
        <v/>
      </c>
      <c r="H11" s="13" t="inlineStr">
        <is>
          <t>Land, gem. +6,50 m</t>
        </is>
      </c>
    </row>
    <row r="12" ht="55" customHeight="1">
      <c r="A12" s="9" t="inlineStr">
        <is>
          <t>G7</t>
        </is>
      </c>
      <c r="B12" s="13" t="inlineStr">
        <is>
          <t>RoRo-ligplaatsvak</t>
        </is>
      </c>
      <c r="C12" s="116" t="n">
        <v>22355.67</v>
      </c>
      <c r="D12" s="101" t="n">
        <v>-6.47</v>
      </c>
      <c r="E12" s="85">
        <f>'Invoer'!D103</f>
        <v/>
      </c>
      <c r="F12" s="85">
        <f>IF(COUNT(C12:E12)=3,C12*MAX(0,E12-D12),"")</f>
        <v/>
      </c>
      <c r="G12" s="13">
        <f>IF(COUNT(C12,E12)&lt;2,"CONTOUR OF DIEPTE KIEZEN",IF(COUNT(D12)&lt;1,"BODEMGEGEVENS ONTBREKEN","VOORLOPIGE SCHATTING"))</f>
        <v/>
      </c>
      <c r="H12" s="13" t="inlineStr">
        <is>
          <t>Tegen de RoRo-kade (v8.3); land, gem. +6,47 m</t>
        </is>
      </c>
    </row>
    <row r="13" ht="55" customHeight="1">
      <c r="A13" s="9" t="inlineStr">
        <is>
          <t>G8</t>
        </is>
      </c>
      <c r="B13" s="13" t="inlineStr">
        <is>
          <t>Reserve insteek 2 (na 2045)</t>
        </is>
      </c>
      <c r="C13" s="116" t="n">
        <v>0</v>
      </c>
      <c r="D13" s="101" t="n">
        <v>-7.84</v>
      </c>
      <c r="E13" s="98">
        <f>'Invoer'!D101</f>
        <v/>
      </c>
      <c r="F13" s="85">
        <f>IF(COUNT(C13:E13)=3,C13*MAX(0,E13-D13),"")</f>
        <v/>
      </c>
      <c r="G13" s="13">
        <f>IF(COUNT(C13,E13)&lt;2,"CONTOUR OF DIEPTE KIEZEN",IF(COUNT(D13)&lt;1,"BODEMGEGEVENS ONTBREKEN","VOORLOPIGE SCHATTING"))</f>
        <v/>
      </c>
      <c r="H13" s="13" t="inlineStr">
        <is>
          <t>Niet baggeren t/m 2045 (666.139 m2 gereserveerd; later ca. 17,3 mln m3)</t>
        </is>
      </c>
    </row>
    <row r="14" ht="55" customHeight="1">
      <c r="A14" s="9" t="inlineStr">
        <is>
          <t>G9</t>
        </is>
      </c>
      <c r="B14" s="13" t="inlineStr">
        <is>
          <t>Insteek F1 (containers)</t>
        </is>
      </c>
      <c r="C14" s="116" t="n">
        <v>472389</v>
      </c>
      <c r="D14" s="101" t="n">
        <v>-6.99</v>
      </c>
      <c r="E14" s="85">
        <f>'Invoer'!D101</f>
        <v/>
      </c>
      <c r="F14" s="85">
        <f>IF(COUNT(C14:E14)=3,C14*MAX(0,E14-D14),"")</f>
        <v/>
      </c>
      <c r="G14" s="13">
        <f>IF(COUNT(C14,E14)&lt;2,"CONTOUR OF DIEPTE KIEZEN",IF(COUNT(D14)&lt;1,"BODEMGEGEVENS ONTBREKEN","VOORLOPIGE SCHATTING"))</f>
        <v/>
      </c>
      <c r="H14" s="13" t="inlineStr">
        <is>
          <t>Was open lijn 1EE; nu gesloten vak F1 (v8.3); land, gem. +6,99 m</t>
        </is>
      </c>
    </row>
    <row r="15" ht="55" customHeight="1">
      <c r="A15" s="9" t="inlineStr">
        <is>
          <t>G10</t>
        </is>
      </c>
      <c r="B15" s="13" t="inlineStr">
        <is>
          <t>Reserve hoofdbekken (na 2045)</t>
        </is>
      </c>
      <c r="C15" s="116" t="n">
        <v>0</v>
      </c>
      <c r="D15" s="101" t="n">
        <v>-6.2</v>
      </c>
      <c r="E15" s="85">
        <f>'Invoer'!D101</f>
        <v/>
      </c>
      <c r="F15" s="85">
        <f>IF(COUNT(C15:E15)=3,C15*MAX(0,E15-D15),"")</f>
        <v/>
      </c>
      <c r="G15" s="13">
        <f>IF(COUNT(C15,E15)&lt;2,"CONTOUR OF DIEPTE KIEZEN",IF(COUNT(D15)&lt;1,"BODEMGEGEVENS ONTBREKEN","VOORLOPIGE SCHATTING"))</f>
        <v/>
      </c>
      <c r="H15" s="13" t="inlineStr">
        <is>
          <t>Niet baggeren t/m 2045 (555.166 m2 gereserveerd; later ca. 13,5 mln m3)</t>
        </is>
      </c>
    </row>
    <row r="16" ht="31" customHeight="1">
      <c r="A16" s="9" t="n"/>
      <c r="B16" s="13" t="n"/>
      <c r="C16" s="88" t="n"/>
      <c r="D16" s="85" t="n"/>
      <c r="E16" s="85" t="n"/>
      <c r="F16" s="85" t="n"/>
      <c r="G16" s="13" t="n"/>
      <c r="H16" s="13" t="n"/>
    </row>
    <row r="17" ht="46" customHeight="1">
      <c r="A17" s="9" t="n"/>
      <c r="B17" s="13" t="inlineStr">
        <is>
          <t>Totaal baggervolume volledig model</t>
        </is>
      </c>
      <c r="C17" s="88" t="n"/>
      <c r="D17" s="85" t="n"/>
      <c r="E17" s="85" t="n"/>
      <c r="F17" s="85">
        <f>IF(COUNT(F6:F15)=10,SUM(F6:F15),"")</f>
        <v/>
      </c>
      <c r="G17" s="13">
        <f>IF(COUNT(F6:F15)=10,"VOORLOPIGE SCHATTING","GEEN VOLLEDIG VOLUME")</f>
        <v/>
      </c>
      <c r="H17" s="13" t="n"/>
    </row>
    <row r="18" ht="46" customHeight="1">
      <c r="A18" s="9" t="n"/>
      <c r="B18" s="13" t="inlineStr">
        <is>
          <t>Som bekende deeloppervlakken</t>
        </is>
      </c>
      <c r="C18" s="88">
        <f>SUM(C6:C15)</f>
        <v/>
      </c>
      <c r="D18" s="85" t="n"/>
      <c r="E18" s="85" t="n"/>
      <c r="F18" s="85" t="n"/>
      <c r="G18" s="13" t="n"/>
      <c r="H18" s="13" t="inlineStr">
        <is>
          <t>Dit is geen complete havenoppervlakte zolang de resterende contouren en overlap niet zijn vastgesteld.</t>
        </is>
      </c>
    </row>
    <row r="19" ht="31" customHeight="1">
      <c r="A19" s="9" t="n"/>
      <c r="B19" s="13" t="n"/>
      <c r="C19" s="13" t="n"/>
      <c r="D19" s="85" t="n"/>
      <c r="E19" s="85" t="n"/>
      <c r="F19" s="85" t="n"/>
      <c r="G19" s="13" t="n"/>
      <c r="H19" s="13" t="n"/>
    </row>
    <row r="20" ht="31" customHeight="1">
      <c r="A20" s="9" t="n"/>
      <c r="B20" s="13" t="n"/>
      <c r="C20" s="13" t="n"/>
      <c r="D20" s="85" t="n"/>
      <c r="E20" s="85" t="n"/>
      <c r="F20" s="85" t="n"/>
      <c r="G20" s="13" t="n"/>
      <c r="H20" s="13" t="n"/>
    </row>
    <row r="21" ht="25" customHeight="1">
      <c r="A21" s="42" t="inlineStr">
        <is>
          <t>Bodemprofielen uit de cursus</t>
        </is>
      </c>
      <c r="B21" s="43" t="n"/>
      <c r="C21" s="43" t="n"/>
      <c r="D21" s="87" t="n"/>
      <c r="E21" s="87" t="n"/>
      <c r="F21" s="87" t="n"/>
      <c r="G21" s="43" t="n"/>
      <c r="H21" s="43" t="n"/>
    </row>
    <row r="22" ht="32" customHeight="1">
      <c r="A22" s="49" t="inlineStr">
        <is>
          <t>Ref</t>
        </is>
      </c>
      <c r="B22" s="49" t="inlineStr">
        <is>
          <t>Gebied</t>
        </is>
      </c>
      <c r="C22" s="49" t="inlineStr">
        <is>
          <t>Zand</t>
        </is>
      </c>
      <c r="D22" s="89" t="inlineStr">
        <is>
          <t>Zachte klei</t>
        </is>
      </c>
      <c r="E22" s="89" t="inlineStr">
        <is>
          <t>Stevig/hard</t>
        </is>
      </c>
      <c r="F22" s="89" t="inlineStr">
        <is>
          <t>Som</t>
        </is>
      </c>
      <c r="G22" s="49" t="inlineStr">
        <is>
          <t>Toets</t>
        </is>
      </c>
      <c r="H22" s="49" t="inlineStr">
        <is>
          <t>Gebruik</t>
        </is>
      </c>
    </row>
    <row r="23" ht="44" customHeight="1">
      <c r="A23" s="9" t="n">
        <v>1</v>
      </c>
      <c r="B23" s="13" t="inlineStr">
        <is>
          <t>Havenbekken</t>
        </is>
      </c>
      <c r="C23" s="117" t="n">
        <v>0.2</v>
      </c>
      <c r="D23" s="118" t="n">
        <v>0.3</v>
      </c>
      <c r="E23" s="118" t="n">
        <v>0.5</v>
      </c>
      <c r="F23" s="118">
        <f>SUM(C23:E23)</f>
        <v/>
      </c>
      <c r="G23" s="13">
        <f>IF(ABS(F23-1)&lt;0.000001,"100%","CONTROLEER")</f>
        <v/>
      </c>
      <c r="H23" s="13" t="inlineStr">
        <is>
          <t>Geul bij DHN -15 eerst splitsen; gemengd materiaal niet voor reclamatie.</t>
        </is>
      </c>
    </row>
    <row r="24" ht="44" customHeight="1">
      <c r="A24" s="9" t="n">
        <v>2</v>
      </c>
      <c r="B24" s="13" t="inlineStr">
        <is>
          <t>Geul tot DHN -15</t>
        </is>
      </c>
      <c r="C24" s="117" t="n">
        <v>0.5</v>
      </c>
      <c r="D24" s="118" t="n">
        <v>0.15</v>
      </c>
      <c r="E24" s="118" t="n">
        <v>0.35</v>
      </c>
      <c r="F24" s="118">
        <f>SUM(C24:E24)</f>
        <v/>
      </c>
      <c r="G24" s="13">
        <f>IF(ABS(F24-1)&lt;0.000001,"100%","CONTROLEER")</f>
        <v/>
      </c>
      <c r="H24" s="13" t="inlineStr">
        <is>
          <t>Geul bij DHN -15 eerst splitsen; gemengd materiaal niet voor reclamatie.</t>
        </is>
      </c>
    </row>
    <row r="25" ht="44" customHeight="1">
      <c r="A25" s="9" t="n">
        <v>3</v>
      </c>
      <c r="B25" s="13" t="inlineStr">
        <is>
          <t>Geul voorbij DHN -15</t>
        </is>
      </c>
      <c r="C25" s="117" t="n">
        <v>0.5</v>
      </c>
      <c r="D25" s="118" t="n">
        <v>0.3</v>
      </c>
      <c r="E25" s="118" t="n">
        <v>0.2</v>
      </c>
      <c r="F25" s="118">
        <f>SUM(C25:E25)</f>
        <v/>
      </c>
      <c r="G25" s="13">
        <f>IF(ABS(F25-1)&lt;0.000001,"100%","CONTROLEER")</f>
        <v/>
      </c>
      <c r="H25" s="13" t="inlineStr">
        <is>
          <t>Geul bij DHN -15 eerst splitsen; gemengd materiaal niet voor reclamatie.</t>
        </is>
      </c>
    </row>
    <row r="26" ht="31" customHeight="1">
      <c r="A26" s="9" t="n"/>
      <c r="B26" s="13" t="n"/>
      <c r="C26" s="13" t="n"/>
      <c r="D26" s="85" t="n"/>
      <c r="E26" s="85" t="n"/>
      <c r="F26" s="85" t="n"/>
      <c r="G26" s="13" t="n"/>
      <c r="H26" s="13" t="n"/>
    </row>
    <row r="27" ht="48" customHeight="1">
      <c r="A27" s="9" t="n"/>
      <c r="B27" s="13" t="inlineStr">
        <is>
          <t>Verticaal datum</t>
        </is>
      </c>
      <c r="C27" s="13" t="n"/>
      <c r="D27" s="85" t="n"/>
      <c r="E27" s="85" t="n"/>
      <c r="F27" s="85" t="n"/>
      <c r="G27" s="13" t="n"/>
      <c r="H27" s="13" t="inlineStr">
        <is>
          <t>Alle diepten positief naar beneden en in hetzelfde datum. Bestaande bodem of TIN ontbreekt; MSL-MLWS verschil nog onderbouwen.</t>
        </is>
      </c>
    </row>
    <row r="28" ht="31" customHeight="1">
      <c r="A28" s="9" t="n"/>
      <c r="B28" s="13" t="n"/>
      <c r="C28" s="13" t="n"/>
      <c r="D28" s="85" t="n"/>
      <c r="E28" s="85" t="n"/>
      <c r="F28" s="85" t="n"/>
      <c r="G28" s="13" t="n"/>
      <c r="H28" s="13" t="n"/>
    </row>
    <row r="29" ht="31" customHeight="1">
      <c r="A29" s="9" t="n"/>
      <c r="B29" s="13" t="n"/>
      <c r="C29" s="13" t="n"/>
      <c r="D29" s="85" t="n"/>
      <c r="E29" s="85" t="n"/>
      <c r="F29" s="85" t="n"/>
      <c r="G29" s="13" t="n"/>
      <c r="H29" s="13" t="n"/>
    </row>
    <row r="30" ht="31" customHeight="1">
      <c r="A30" s="9" t="n"/>
      <c r="B30" s="13" t="n"/>
      <c r="C30" s="13" t="n"/>
      <c r="D30" s="85" t="n"/>
      <c r="E30" s="85" t="n"/>
      <c r="F30" s="85" t="n"/>
      <c r="G30" s="13" t="n"/>
      <c r="H30" s="13" t="n"/>
    </row>
    <row r="31" ht="31" customHeight="1">
      <c r="A31" s="9" t="n"/>
      <c r="B31" s="13" t="n"/>
      <c r="C31" s="13" t="n"/>
      <c r="D31" s="85" t="n"/>
      <c r="E31" s="85" t="n"/>
      <c r="F31" s="85" t="n"/>
      <c r="G31" s="13" t="n"/>
      <c r="H31" s="13" t="n"/>
    </row>
    <row r="32" ht="25" customHeight="1">
      <c r="A32" s="42" t="inlineStr">
        <is>
          <t>Reclamatie uit unieke vlakken en hoogten</t>
        </is>
      </c>
      <c r="B32" s="43" t="n"/>
      <c r="C32" s="43" t="n"/>
      <c r="D32" s="87" t="n"/>
      <c r="E32" s="87" t="n"/>
      <c r="F32" s="87" t="n"/>
      <c r="G32" s="43" t="n"/>
      <c r="H32" s="43" t="n"/>
    </row>
    <row r="33" ht="32" customHeight="1">
      <c r="A33" s="49" t="inlineStr">
        <is>
          <t>Ref</t>
        </is>
      </c>
      <c r="B33" s="49" t="inlineStr">
        <is>
          <t>Onderdeel</t>
        </is>
      </c>
      <c r="C33" s="49" t="inlineStr">
        <is>
          <t>Eenheid</t>
        </is>
      </c>
      <c r="D33" s="89" t="inlineStr">
        <is>
          <t>Waarde</t>
        </is>
      </c>
      <c r="E33" s="89" t="inlineStr">
        <is>
          <t>Status</t>
        </is>
      </c>
      <c r="F33" s="89" t="inlineStr">
        <is>
          <t>Toelichting</t>
        </is>
      </c>
      <c r="G33" s="49" t="str"/>
      <c r="H33" s="49" t="str"/>
    </row>
    <row r="34" ht="31" customHeight="1">
      <c r="A34" s="9" t="inlineStr">
        <is>
          <t>G11</t>
        </is>
      </c>
      <c r="B34" s="13" t="inlineStr">
        <is>
          <t>Te vullen oppervlakte</t>
        </is>
      </c>
      <c r="C34" s="13" t="inlineStr">
        <is>
          <t>m2</t>
        </is>
      </c>
      <c r="D34" s="101" t="n">
        <v>3459600</v>
      </c>
      <c r="E34" s="85" t="n"/>
      <c r="F34" s="85" t="inlineStr">
        <is>
          <t>Terminals, LNG, centrale, havendienst (DO 8.3)</t>
        </is>
      </c>
      <c r="G34" s="13" t="n"/>
      <c r="H34" s="13" t="n"/>
    </row>
    <row r="35" ht="31" customHeight="1">
      <c r="A35" s="9" t="inlineStr">
        <is>
          <t>G12</t>
        </is>
      </c>
      <c r="B35" s="13" t="inlineStr">
        <is>
          <t>Bestaande gemiddelde hoogte</t>
        </is>
      </c>
      <c r="C35" s="13" t="inlineStr">
        <is>
          <t>m zelfde datum</t>
        </is>
      </c>
      <c r="D35" s="101" t="n">
        <v>7.06</v>
      </c>
      <c r="E35" s="85" t="n"/>
      <c r="F35" s="85" t="inlineStr">
        <is>
          <t>Copernicus DEM (oppervlak incl. begroeiing) t.o.v. MLWS; werkelijk maaiveld lager</t>
        </is>
      </c>
      <c r="G35" s="13" t="n"/>
      <c r="H35" s="13" t="n"/>
    </row>
    <row r="36" ht="31" customHeight="1">
      <c r="A36" s="9" t="inlineStr">
        <is>
          <t>G13</t>
        </is>
      </c>
      <c r="B36" s="13" t="inlineStr">
        <is>
          <t>Ontwerp bovenzijde</t>
        </is>
      </c>
      <c r="C36" s="13" t="inlineStr">
        <is>
          <t>m zelfde datum</t>
        </is>
      </c>
      <c r="D36" s="101" t="n">
        <v>5</v>
      </c>
      <c r="E36" s="85" t="n"/>
      <c r="F36" s="85" t="inlineStr">
        <is>
          <t>Aanname terreinhoogte +5,0 m MLWS</t>
        </is>
      </c>
      <c r="G36" s="13" t="n"/>
      <c r="H36" s="13" t="n"/>
    </row>
    <row r="37" ht="31" customHeight="1">
      <c r="A37" s="9" t="inlineStr">
        <is>
          <t>G14</t>
        </is>
      </c>
      <c r="B37" s="13" t="inlineStr">
        <is>
          <t>Extra laag voor zetting</t>
        </is>
      </c>
      <c r="C37" s="13" t="inlineStr">
        <is>
          <t>m</t>
        </is>
      </c>
      <c r="D37" s="101" t="n">
        <v>0.5</v>
      </c>
      <c r="E37" s="85" t="n"/>
      <c r="F37" s="85" t="inlineStr">
        <is>
          <t>Aanname zetting</t>
        </is>
      </c>
      <c r="G37" s="13" t="n"/>
      <c r="H37" s="13" t="n"/>
    </row>
    <row r="38" ht="31" customHeight="1">
      <c r="A38" s="9" t="n"/>
      <c r="B38" s="13" t="n"/>
      <c r="C38" s="13" t="n"/>
      <c r="D38" s="85" t="n"/>
      <c r="E38" s="85" t="n"/>
      <c r="F38" s="85" t="n"/>
      <c r="G38" s="13" t="n"/>
      <c r="H38" s="13" t="n"/>
    </row>
    <row r="39" ht="31" customHeight="1">
      <c r="A39" s="9" t="n"/>
      <c r="B39" s="13" t="inlineStr">
        <is>
          <t>Vulvolume schatting</t>
        </is>
      </c>
      <c r="C39" s="13" t="inlineStr">
        <is>
          <t>m3</t>
        </is>
      </c>
      <c r="D39" s="85">
        <f>IF(COUNT(D34:D37)=4,D34*MAX(0,D36-D35+D37),"")</f>
        <v/>
      </c>
      <c r="E39" s="85">
        <f>IF(COUNT(D34:D37)=4,"SCHATTING","INVOER ONTBREEKT")</f>
        <v/>
      </c>
      <c r="F39" s="85" t="inlineStr">
        <is>
          <t>Gemiddeld geen ophoging: terrein ligt hoger dan +5,0 m. Celmethode: ophogen 0,36 mln m3, afgraven 7,35 mln m3</t>
        </is>
      </c>
      <c r="G39" s="13" t="n"/>
      <c r="H39" s="13" t="n"/>
    </row>
    <row r="40" ht="31" customHeight="1">
      <c r="A40" s="9" t="n"/>
      <c r="B40" s="13" t="n"/>
      <c r="C40" s="13" t="n"/>
      <c r="D40" s="85" t="n"/>
      <c r="E40" s="85" t="n"/>
      <c r="F40" s="85" t="n"/>
      <c r="G40" s="13" t="n"/>
      <c r="H40" s="13" t="n"/>
    </row>
    <row r="41" ht="31" customHeight="1">
      <c r="A41" s="9" t="n"/>
      <c r="B41" s="13" t="n"/>
      <c r="C41" s="13" t="n"/>
      <c r="D41" s="85" t="n"/>
      <c r="E41" s="85" t="n"/>
      <c r="F41" s="85" t="n"/>
      <c r="G41" s="13" t="n"/>
      <c r="H41" s="13" t="n"/>
    </row>
    <row r="42" ht="47" customHeight="1">
      <c r="A42" s="9" t="n"/>
      <c r="B42" s="13" t="inlineStr">
        <is>
          <t>Geen som van alle terminalvlakken</t>
        </is>
      </c>
      <c r="C42" s="13" t="n"/>
      <c r="D42" s="85" t="n"/>
      <c r="E42" s="85" t="n"/>
      <c r="F42" s="85" t="n"/>
      <c r="G42" s="13" t="n"/>
      <c r="H42" s="13" t="inlineStr">
        <is>
          <t>Ophoogterrein is niet gelijk aan alle percelen samen. Bestaand land, binnenvlakken en overlap eerst onderscheiden.</t>
        </is>
      </c>
    </row>
    <row r="43" ht="31" customHeight="1">
      <c r="A43" s="9" t="n"/>
      <c r="B43" s="13" t="n"/>
      <c r="C43" s="13" t="n"/>
      <c r="D43" s="85" t="n"/>
      <c r="E43" s="85" t="n"/>
      <c r="F43" s="85" t="n"/>
      <c r="G43" s="13" t="n"/>
      <c r="H43" s="13" t="n"/>
    </row>
    <row r="44" ht="31" customHeight="1">
      <c r="A44" s="9" t="n"/>
      <c r="B44" s="13" t="n"/>
      <c r="C44" s="13" t="n"/>
      <c r="D44" s="85" t="n"/>
      <c r="E44" s="85" t="n"/>
      <c r="F44" s="85" t="n"/>
      <c r="G44" s="13" t="n"/>
      <c r="H44" s="13" t="n"/>
    </row>
    <row r="45" ht="31" customHeight="1">
      <c r="A45" s="9" t="n"/>
      <c r="B45" s="13" t="n"/>
      <c r="C45" s="13" t="n"/>
      <c r="D45" s="85" t="n"/>
      <c r="E45" s="85" t="n"/>
      <c r="F45" s="85" t="n"/>
      <c r="G45" s="13" t="n"/>
      <c r="H45" s="13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8" customWidth="1" min="1" max="1"/>
    <col width="39" customWidth="1" min="2" max="2"/>
    <col width="18" customWidth="1" min="3" max="3"/>
    <col width="17" customWidth="1" min="4" max="4"/>
    <col width="17" customWidth="1" min="5" max="5"/>
    <col width="17" customWidth="1" min="6" max="6"/>
    <col width="24" customWidth="1" min="7" max="7"/>
    <col width="68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Afweging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3" t="n"/>
      <c r="B3" s="3" t="inlineStr">
        <is>
          <t>Actieve LNG-tanks</t>
        </is>
      </c>
      <c r="C3" s="3" t="n"/>
      <c r="D3" s="82">
        <f>'Invoer'!$D$3</f>
        <v/>
      </c>
      <c r="E3" s="3" t="n"/>
      <c r="F3" s="3" t="n"/>
      <c r="G3" s="3" t="n"/>
      <c r="H3" s="3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27" customHeight="1">
      <c r="A5" s="8" t="inlineStr">
        <is>
          <t>Ref</t>
        </is>
      </c>
      <c r="B5" s="8" t="inlineStr">
        <is>
          <t>Criterium</t>
        </is>
      </c>
      <c r="C5" s="8" t="inlineStr">
        <is>
          <t>Gewicht</t>
        </is>
      </c>
      <c r="D5" s="8" t="inlineStr">
        <is>
          <t>A lineair</t>
        </is>
      </c>
      <c r="E5" s="8" t="inlineStr">
        <is>
          <t>B referentie</t>
        </is>
      </c>
      <c r="F5" s="8" t="inlineStr">
        <is>
          <t>C offshore</t>
        </is>
      </c>
      <c r="G5" s="8" t="inlineStr">
        <is>
          <t>D gescheiden</t>
        </is>
      </c>
      <c r="H5" s="8" t="inlineStr">
        <is>
          <t>Bewijs nodig</t>
        </is>
      </c>
    </row>
    <row r="6" ht="27" customHeight="1">
      <c r="A6" s="9" t="inlineStr">
        <is>
          <t>M1</t>
        </is>
      </c>
      <c r="B6" s="13" t="inlineStr">
        <is>
          <t>Bevaarbaarheid</t>
        </is>
      </c>
      <c r="C6" s="119" t="n">
        <v>0.3</v>
      </c>
      <c r="D6" s="92" t="n"/>
      <c r="E6" s="92" t="n"/>
      <c r="F6" s="92" t="n"/>
      <c r="G6" s="10" t="n"/>
      <c r="H6" s="13" t="inlineStr">
        <is>
          <t>Simulatie, toegangsroute en vrije draaicirkel</t>
        </is>
      </c>
    </row>
    <row r="7" ht="27" customHeight="1">
      <c r="A7" s="9" t="inlineStr">
        <is>
          <t>M2</t>
        </is>
      </c>
      <c r="B7" s="13" t="inlineStr">
        <is>
          <t>Baggeren en reclameren</t>
        </is>
      </c>
      <c r="C7" s="119" t="n">
        <v>0.25</v>
      </c>
      <c r="D7" s="92" t="n"/>
      <c r="E7" s="92" t="n"/>
      <c r="F7" s="92" t="n"/>
      <c r="G7" s="10" t="n"/>
      <c r="H7" s="13" t="inlineStr">
        <is>
          <t>Geometrie, bathymetrie, grondsoort en volume</t>
        </is>
      </c>
    </row>
    <row r="8" ht="27" customHeight="1">
      <c r="A8" s="9" t="inlineStr">
        <is>
          <t>M3</t>
        </is>
      </c>
      <c r="B8" s="13" t="inlineStr">
        <is>
          <t>Complexiteit aanleg</t>
        </is>
      </c>
      <c r="C8" s="119" t="n">
        <v>0.2</v>
      </c>
      <c r="D8" s="92" t="n"/>
      <c r="E8" s="92" t="n"/>
      <c r="F8" s="92" t="n"/>
      <c r="G8" s="10" t="n"/>
      <c r="H8" s="13" t="inlineStr">
        <is>
          <t>Dammen, funderingen, uitvoeringsvolgorde</t>
        </is>
      </c>
    </row>
    <row r="9" ht="27" customHeight="1">
      <c r="A9" s="9" t="inlineStr">
        <is>
          <t>M4</t>
        </is>
      </c>
      <c r="B9" s="13" t="inlineStr">
        <is>
          <t>Fasering en uitbreidbaarheid</t>
        </is>
      </c>
      <c r="C9" s="119" t="n">
        <v>0.15</v>
      </c>
      <c r="D9" s="92" t="n"/>
      <c r="E9" s="92" t="n"/>
      <c r="F9" s="92" t="n"/>
      <c r="G9" s="10" t="n"/>
      <c r="H9" s="13" t="inlineStr">
        <is>
          <t>Bouwen tijdens exploitatie en grondreserveringen</t>
        </is>
      </c>
    </row>
    <row r="10" ht="27" customHeight="1">
      <c r="A10" s="9" t="inlineStr">
        <is>
          <t>M5</t>
        </is>
      </c>
      <c r="B10" s="13" t="inlineStr">
        <is>
          <t>Milieu en LNG-scheiding</t>
        </is>
      </c>
      <c r="C10" s="119" t="n">
        <v>0.1</v>
      </c>
      <c r="D10" s="92" t="n"/>
      <c r="E10" s="92" t="n"/>
      <c r="F10" s="92" t="n"/>
      <c r="G10" s="10" t="n"/>
      <c r="H10" s="13" t="inlineStr">
        <is>
          <t>Ecologie, baggerstort, QRA en koelwater</t>
        </is>
      </c>
    </row>
    <row r="11" ht="27" customHeight="1">
      <c r="A11" s="9" t="n"/>
      <c r="B11" s="13" t="n"/>
      <c r="C11" s="9" t="n"/>
      <c r="D11" s="85" t="n"/>
      <c r="E11" s="85" t="n"/>
      <c r="F11" s="85" t="n"/>
      <c r="G11" s="9" t="n"/>
      <c r="H11" s="13" t="n"/>
    </row>
    <row r="12" ht="27" customHeight="1">
      <c r="A12" s="9" t="n"/>
      <c r="B12" s="13" t="inlineStr">
        <is>
          <t>Som gewichten</t>
        </is>
      </c>
      <c r="C12" s="9">
        <f>SUM(C6:C10)</f>
        <v/>
      </c>
      <c r="D12" s="85" t="n"/>
      <c r="E12" s="85" t="n"/>
      <c r="F12" s="85" t="n"/>
      <c r="G12" s="9" t="n"/>
      <c r="H12" s="13" t="n"/>
    </row>
    <row r="13" ht="27" customHeight="1">
      <c r="A13" s="9" t="n"/>
      <c r="B13" s="13" t="n"/>
      <c r="C13" s="9" t="n"/>
      <c r="D13" s="85" t="n"/>
      <c r="E13" s="85" t="n"/>
      <c r="F13" s="85" t="n"/>
      <c r="G13" s="9" t="n"/>
      <c r="H13" s="13" t="n"/>
    </row>
    <row r="14" ht="27" customHeight="1">
      <c r="A14" s="9" t="n"/>
      <c r="B14" s="13" t="inlineStr">
        <is>
          <t>Gewogen score 1 tot 5</t>
        </is>
      </c>
      <c r="C14" s="9" t="n"/>
      <c r="D14" s="85">
        <f>IF(AND(COUNT(D6:D10)=5,ABS($C$12-1)&lt;0.000001),SUMPRODUCT($C$6:$C$10,D6:D10),"")</f>
        <v/>
      </c>
      <c r="E14" s="85">
        <f>IF(AND(COUNT(E6:E10)=5,ABS($C$12-1)&lt;0.000001),SUMPRODUCT($C$6:$C$10,E6:E10),"")</f>
        <v/>
      </c>
      <c r="F14" s="85">
        <f>IF(AND(COUNT(F6:F10)=5,ABS($C$12-1)&lt;0.000001),SUMPRODUCT($C$6:$C$10,F6:F10),"")</f>
        <v/>
      </c>
      <c r="G14" s="9">
        <f>IF(AND(COUNT(G6:G10)=5,ABS($C$12-1)&lt;0.000001),SUMPRODUCT($C$6:$C$10,G6:G10),"")</f>
        <v/>
      </c>
      <c r="H14" s="13" t="n"/>
    </row>
    <row r="15" ht="27" customHeight="1">
      <c r="A15" s="9" t="n"/>
      <c r="B15" s="13" t="n"/>
      <c r="C15" s="9" t="n"/>
      <c r="D15" s="85" t="n"/>
      <c r="E15" s="85" t="n"/>
      <c r="F15" s="85" t="n"/>
      <c r="G15" s="9" t="n"/>
      <c r="H15" s="13" t="n"/>
    </row>
    <row r="16" ht="27" customHeight="1">
      <c r="A16" s="9" t="n"/>
      <c r="B16" s="13" t="inlineStr">
        <is>
          <t>Huidige voorkeursrichting</t>
        </is>
      </c>
      <c r="C16" s="9" t="n"/>
      <c r="D16" s="85" t="inlineStr">
        <is>
          <t>Porto Central als vormreferentie</t>
        </is>
      </c>
      <c r="E16" s="85" t="n"/>
      <c r="F16" s="85" t="n"/>
      <c r="G16" s="9" t="n"/>
      <c r="H16" s="13" t="n"/>
    </row>
    <row r="17" ht="27" customHeight="1">
      <c r="A17" s="9" t="n"/>
      <c r="B17" s="13" t="n"/>
      <c r="C17" s="9" t="n"/>
      <c r="D17" s="85" t="n"/>
      <c r="E17" s="85" t="n"/>
      <c r="F17" s="85" t="n"/>
      <c r="G17" s="9" t="n"/>
      <c r="H17" s="13" t="n"/>
    </row>
    <row r="18" ht="27" customHeight="1">
      <c r="A18" s="9" t="n"/>
      <c r="B18" s="13" t="inlineStr">
        <is>
          <t>Status vergelijking</t>
        </is>
      </c>
      <c r="C18" s="9" t="n"/>
      <c r="D18" s="85">
        <f>IF(COUNT(D14:G14)=4,"VOLLEDIG INGEVOERD","GROEPSSCHETSEN EN SCORES NODIG")</f>
        <v/>
      </c>
      <c r="E18" s="85" t="n"/>
      <c r="F18" s="85" t="n"/>
      <c r="G18" s="9" t="n"/>
      <c r="H18" s="13" t="n"/>
    </row>
    <row r="19" ht="27" customHeight="1">
      <c r="A19" s="9" t="n"/>
      <c r="B19" s="13" t="n"/>
      <c r="C19" s="9" t="n"/>
      <c r="D19" s="85" t="n"/>
      <c r="E19" s="85" t="n"/>
      <c r="F19" s="85" t="n"/>
      <c r="G19" s="9" t="n"/>
      <c r="H19" s="13" t="n"/>
    </row>
    <row r="20" ht="27" customHeight="1">
      <c r="A20" s="9" t="n"/>
      <c r="B20" s="13" t="n"/>
      <c r="C20" s="9" t="n"/>
      <c r="D20" s="85" t="n"/>
      <c r="E20" s="85" t="n"/>
      <c r="F20" s="85" t="n"/>
      <c r="G20" s="9" t="n"/>
      <c r="H20" s="13" t="inlineStr">
        <is>
          <t>Vul alleen scores in met motivering. 1 ongunstig, 5 gunstig. De oude 4,35-score geldt niet voor dit ontwerp.</t>
        </is>
      </c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</row>
  </sheetData>
  <dataValidations count="1">
    <dataValidation sqref="D6:G10" showDropDown="0" showInputMessage="0" showErrorMessage="0" allowBlank="0" type="whole" operator="between">
      <formula1>1</formula1>
      <formula2>5</formula2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5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8" customWidth="1" min="1" max="1"/>
    <col width="39" customWidth="1" min="2" max="2"/>
    <col width="72" customWidth="1" min="3" max="3"/>
    <col width="25" customWidth="1" min="4" max="4"/>
    <col width="65" customWidth="1" min="5" max="5"/>
    <col width="17" customWidth="1" min="6" max="6"/>
    <col width="24" customWidth="1" min="7" max="7"/>
    <col width="68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Keuzes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3" t="n"/>
      <c r="B3" s="3" t="inlineStr">
        <is>
          <t>Actieve LNG-tanks</t>
        </is>
      </c>
      <c r="C3" s="3" t="n"/>
      <c r="D3" s="82">
        <f>'Invoer'!$D$3</f>
        <v/>
      </c>
      <c r="E3" s="3" t="n"/>
      <c r="F3" s="3" t="n"/>
      <c r="G3" s="3" t="n"/>
      <c r="H3" s="3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30" customHeight="1">
      <c r="A5" s="6" t="inlineStr">
        <is>
          <t>Ref</t>
        </is>
      </c>
      <c r="B5" s="6" t="inlineStr">
        <is>
          <t>Onderwerp</t>
        </is>
      </c>
      <c r="C5" s="6" t="inlineStr">
        <is>
          <t>Besluit of voorstel</t>
        </is>
      </c>
      <c r="D5" s="6" t="inlineStr">
        <is>
          <t>Status</t>
        </is>
      </c>
      <c r="E5" s="6" t="inlineStr">
        <is>
          <t>Onderbouwing</t>
        </is>
      </c>
      <c r="F5" s="1" t="n"/>
      <c r="G5" s="1" t="n"/>
      <c r="H5" s="1" t="n"/>
    </row>
    <row r="6" ht="55" customHeight="1">
      <c r="A6" s="1" t="inlineStr">
        <is>
          <t>K01</t>
        </is>
      </c>
      <c r="B6" s="21" t="inlineStr">
        <is>
          <t>Groep 1 programma</t>
        </is>
      </c>
      <c r="C6" s="21" t="inlineStr">
        <is>
          <t>Containers, graan, voertuigen, LNG en centrale</t>
        </is>
      </c>
      <c r="D6" s="21" t="inlineStr">
        <is>
          <t>Opdracht</t>
        </is>
      </c>
      <c r="E6" s="21" t="inlineStr">
        <is>
          <t>[1]</t>
        </is>
      </c>
      <c r="F6" s="1" t="n"/>
      <c r="G6" s="1" t="n"/>
      <c r="H6" s="1" t="n"/>
    </row>
    <row r="7" ht="55" customHeight="1">
      <c r="A7" s="1" t="inlineStr">
        <is>
          <t>K02</t>
        </is>
      </c>
      <c r="B7" s="21" t="inlineStr">
        <is>
          <t>Havenvorm</t>
        </is>
      </c>
      <c r="C7" s="21" t="inlineStr">
        <is>
          <t>Porto Central als referentie voor bekken, vingers en golfbrekers</t>
        </is>
      </c>
      <c r="D7" s="21" t="inlineStr">
        <is>
          <t>Gebruikerskeuze</t>
        </is>
      </c>
      <c r="E7" s="21" t="inlineStr">
        <is>
          <t>Beelden gebruiker + [6]</t>
        </is>
      </c>
      <c r="F7" s="1" t="n"/>
      <c r="G7" s="1" t="n"/>
      <c r="H7" s="1" t="n"/>
    </row>
    <row r="8" ht="55" customHeight="1">
      <c r="A8" s="1" t="inlineStr">
        <is>
          <t>K03</t>
        </is>
      </c>
      <c r="B8" s="21" t="inlineStr">
        <is>
          <t>Tekenwerk</t>
        </is>
      </c>
      <c r="C8" s="21" t="inlineStr">
        <is>
          <t>Gebruiker maakt eigen tekeningen</t>
        </is>
      </c>
      <c r="D8" s="21" t="inlineStr">
        <is>
          <t>Gebruikerskeuze</t>
        </is>
      </c>
      <c r="E8" s="21" t="inlineStr">
        <is>
          <t>22 oktober 2026</t>
        </is>
      </c>
      <c r="F8" s="1" t="n"/>
      <c r="G8" s="1" t="n"/>
      <c r="H8" s="1" t="n"/>
    </row>
    <row r="9" ht="55" customHeight="1">
      <c r="A9" s="1" t="inlineStr">
        <is>
          <t>K04</t>
        </is>
      </c>
      <c r="B9" s="21" t="inlineStr">
        <is>
          <t>Zoekgebied</t>
        </is>
      </c>
      <c r="C9" s="21" t="inlineStr">
        <is>
          <t>Getekende ligging volgens EPSG 31984; buitenste draaikom E297534,598 / N7649611,919</t>
        </is>
      </c>
      <c r="D9" s="21" t="inlineStr">
        <is>
          <t>Geometrie gemeten</t>
        </is>
      </c>
      <c r="E9" s="21" t="inlineStr">
        <is>
          <t>Ondergrondbestand ontbreekt voor nauwkeurige liggingstoets.</t>
        </is>
      </c>
      <c r="F9" s="1" t="n"/>
      <c r="G9" s="1" t="n"/>
      <c r="H9" s="1" t="n"/>
    </row>
    <row r="10" ht="55" customHeight="1">
      <c r="A10" s="1" t="inlineStr">
        <is>
          <t>K05</t>
        </is>
      </c>
      <c r="B10" s="21" t="inlineStr">
        <is>
          <t>Toegelaten vloot</t>
        </is>
      </c>
      <c r="C10" s="21" t="inlineStr">
        <is>
          <t>Regulier T14,5m en L334m; geen 400m-schepen</t>
        </is>
      </c>
      <c r="D10" s="21" t="inlineStr">
        <is>
          <t>Overgenomen</t>
        </is>
      </c>
      <c r="E10" s="21" t="inlineStr">
        <is>
          <t>[2] T15m alleen na aparte dieptetoets</t>
        </is>
      </c>
      <c r="F10" s="1" t="n"/>
      <c r="G10" s="1" t="n"/>
      <c r="H10" s="1" t="n"/>
    </row>
    <row r="11" ht="55" customHeight="1">
      <c r="A11" s="1" t="inlineStr">
        <is>
          <t>K06</t>
        </is>
      </c>
      <c r="B11" s="21" t="inlineStr">
        <is>
          <t>LNG-vloot</t>
        </is>
      </c>
      <c r="C11" s="21" t="inlineStr">
        <is>
          <t>GASLOG GREECE regulier, MOZAH alleen grensscenario</t>
        </is>
      </c>
      <c r="D11" s="21" t="inlineStr">
        <is>
          <t>Ontwerpvoorstel</t>
        </is>
      </c>
      <c r="E11" s="21" t="inlineStr">
        <is>
          <t>[2] Grotere LNG-vloot vraagt nieuwe breedtetoets</t>
        </is>
      </c>
      <c r="F11" s="1" t="n"/>
      <c r="G11" s="1" t="n"/>
      <c r="H11" s="1" t="n"/>
    </row>
    <row r="12" ht="55" customHeight="1">
      <c r="A12" s="1" t="inlineStr">
        <is>
          <t>K07</t>
        </is>
      </c>
      <c r="B12" s="21" t="inlineStr">
        <is>
          <t>Verkeer</t>
        </is>
      </c>
      <c r="C12" s="21" t="inlineStr">
        <is>
          <t>Eenrichtingsgeul met VTS en loodsen</t>
        </is>
      </c>
      <c r="D12" s="21" t="inlineStr">
        <is>
          <t>Ontwerpvoorstel</t>
        </is>
      </c>
      <c r="E12" s="21" t="inlineStr">
        <is>
          <t>[3] Geen passeren in de hoofdgeul</t>
        </is>
      </c>
      <c r="F12" s="1" t="n"/>
      <c r="G12" s="1" t="n"/>
      <c r="H12" s="1" t="n"/>
    </row>
    <row r="13" ht="55" customHeight="1">
      <c r="A13" s="1" t="inlineStr">
        <is>
          <t>K08</t>
        </is>
      </c>
      <c r="B13" s="21" t="inlineStr">
        <is>
          <t>Breedte</t>
        </is>
      </c>
      <c r="C13" s="21" t="inlineStr">
        <is>
          <t>Rechte geul 220 m, bocht circa 260 m bij R3400 m</t>
        </is>
      </c>
      <c r="D13" s="21" t="inlineStr">
        <is>
          <t>Gemeten + toets</t>
        </is>
      </c>
      <c r="E13" s="21" t="inlineStr">
        <is>
          <t>Nautiek; bocht en operationele omstandigheden nog onderbouwen.</t>
        </is>
      </c>
      <c r="F13" s="1" t="n"/>
      <c r="G13" s="1" t="n"/>
      <c r="H13" s="1" t="n"/>
    </row>
    <row r="14" ht="55" customHeight="1">
      <c r="A14" s="1" t="inlineStr">
        <is>
          <t>K09</t>
        </is>
      </c>
      <c r="B14" s="21" t="inlineStr">
        <is>
          <t>Containerkranen</t>
        </is>
      </c>
      <c r="C14" s="21" t="inlineStr">
        <is>
          <t>3/4/5 gelijktijdige kranen per schip, netto30 box/h</t>
        </is>
      </c>
      <c r="D14" s="21" t="inlineStr">
        <is>
          <t>Rekenaanname</t>
        </is>
      </c>
      <c r="E14" s="21" t="inlineStr">
        <is>
          <t>Productiviteit en bezetting in Containers</t>
        </is>
      </c>
      <c r="F14" s="1" t="n"/>
      <c r="G14" s="1" t="n"/>
      <c r="H14" s="1" t="n"/>
    </row>
    <row r="15" ht="55" customHeight="1">
      <c r="A15" s="1" t="inlineStr">
        <is>
          <t>K10</t>
        </is>
      </c>
      <c r="B15" s="21" t="inlineStr">
        <is>
          <t>Terrein</t>
        </is>
      </c>
      <c r="C15" s="21" t="inlineStr">
        <is>
          <t>Containerterreinen 72,00 / 108,00 / 144,00 ha; graan 30,42 ha; RoRo 30,21 ha</t>
        </is>
      </c>
      <c r="D15" s="21" t="inlineStr">
        <is>
          <t>Gemeten DWG</t>
        </is>
      </c>
      <c r="E15" s="21" t="inlineStr">
        <is>
          <t>Gemeten contouren, geen afleiding uit referentiebeeld.</t>
        </is>
      </c>
      <c r="F15" s="1" t="n"/>
      <c r="G15" s="1" t="n"/>
      <c r="H15" s="1" t="n"/>
    </row>
    <row r="16" ht="55" customHeight="1">
      <c r="A16" s="1" t="inlineStr">
        <is>
          <t>K11</t>
        </is>
      </c>
      <c r="B16" s="21" t="inlineStr">
        <is>
          <t>LNG-opslag</t>
        </is>
      </c>
      <c r="C16" s="21">
        <f>"Actief "&amp;'Invoer'!$D$3&amp;" tanks van 180000 m3; 4 basiscirkels en 3 uitgewerkte details"</f>
        <v/>
      </c>
      <c r="D16" s="21" t="inlineStr">
        <is>
          <t>Voorlopige keuze</t>
        </is>
      </c>
      <c r="E16" s="21" t="inlineStr">
        <is>
          <t>D3 in Invoer is de enige actieve tankkeuze. Alle fasen dezelfde opstelling als rekenaanname.</t>
        </is>
      </c>
      <c r="F16" s="1" t="n"/>
      <c r="G16" s="1" t="n"/>
      <c r="H16" s="1" t="n"/>
    </row>
    <row r="17" ht="55" customHeight="1">
      <c r="A17" s="1" t="inlineStr">
        <is>
          <t>K12</t>
        </is>
      </c>
      <c r="B17" s="21" t="inlineStr">
        <is>
          <t>Centrale</t>
        </is>
      </c>
      <c r="C17" s="21" t="inlineStr">
        <is>
          <t>Eindcapaciteit vanaf fase1; vermogensverdeling nog te kiezen</t>
        </is>
      </c>
      <c r="D17" s="21" t="inlineStr">
        <is>
          <t>Opdracht + rekenvoorbeeld</t>
        </is>
      </c>
      <c r="E17" s="21" t="inlineStr">
        <is>
          <t>50% LNG naar centrale is illustratief</t>
        </is>
      </c>
      <c r="F17" s="1" t="n"/>
      <c r="G17" s="1" t="n"/>
      <c r="H17" s="1" t="n"/>
    </row>
    <row r="18" ht="55" customHeight="1">
      <c r="A18" s="1" t="inlineStr">
        <is>
          <t>K13</t>
        </is>
      </c>
      <c r="B18" s="21" t="inlineStr">
        <is>
          <t>Baggergrond</t>
        </is>
      </c>
      <c r="C18" s="21" t="inlineStr">
        <is>
          <t>Niet voor reclamatie hergebruiken</t>
        </is>
      </c>
      <c r="D18" s="21" t="inlineStr">
        <is>
          <t>Opdrachtgegeven</t>
        </is>
      </c>
      <c r="E18" s="21" t="inlineStr">
        <is>
          <t>[4] Gemengd materiaal</t>
        </is>
      </c>
      <c r="F18" s="1" t="n"/>
      <c r="G18" s="1" t="n"/>
      <c r="H18" s="1" t="n"/>
    </row>
    <row r="19" ht="55" customHeight="1">
      <c r="A19" s="1" t="inlineStr">
        <is>
          <t>K14</t>
        </is>
      </c>
      <c r="B19" s="21" t="inlineStr">
        <is>
          <t>Golfbrekers</t>
        </is>
      </c>
      <c r="C19" s="21" t="inlineStr">
        <is>
          <t>Voorhaven beschermen; type en kruin pas na golfontwerp</t>
        </is>
      </c>
      <c r="D19" s="21" t="inlineStr">
        <is>
          <t>Ontwerpvoorstel</t>
        </is>
      </c>
      <c r="E19" s="21" t="inlineStr">
        <is>
          <t>Geen ongefundeerde steen- of hoogteberekening</t>
        </is>
      </c>
      <c r="F19" s="1" t="n"/>
      <c r="G19" s="1" t="n"/>
      <c r="H19" s="1" t="n"/>
    </row>
    <row r="20" ht="55" customHeight="1">
      <c r="A20" s="1" t="inlineStr">
        <is>
          <t>K15</t>
        </is>
      </c>
      <c r="B20" s="21" t="inlineStr">
        <is>
          <t>Voorkeurstoets</t>
        </is>
      </c>
      <c r="C20" s="21" t="inlineStr">
        <is>
          <t>Vier groepsschetsen beoordelen met dezelfde gegevens</t>
        </is>
      </c>
      <c r="D20" s="21" t="inlineStr">
        <is>
          <t>Nog af te ronden</t>
        </is>
      </c>
      <c r="E20" s="21" t="inlineStr">
        <is>
          <t>Afweging; geen fictieve scores</t>
        </is>
      </c>
      <c r="F20" s="1" t="n"/>
      <c r="G20" s="1" t="n"/>
      <c r="H20" s="1" t="n"/>
    </row>
    <row r="21" ht="55" customHeight="1">
      <c r="A21" s="1" t="inlineStr">
        <is>
          <t>K16</t>
        </is>
      </c>
      <c r="B21" s="21" t="inlineStr">
        <is>
          <t>Definitieve toets</t>
        </is>
      </c>
      <c r="C21" s="21" t="inlineStr">
        <is>
          <t>DWG gemeten; opslagverdeling, ondergrond, plots en definitieve baggercontouren nog uitwerken</t>
        </is>
      </c>
      <c r="D21" s="21" t="inlineStr">
        <is>
          <t>Deels gecontroleerd</t>
        </is>
      </c>
      <c r="E21" s="21" t="inlineStr">
        <is>
          <t>Controle_Haven_DO.pdf van 23 oktober 2026; geen goedkeuring van ontbrekende gegevens.</t>
        </is>
      </c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</row>
    <row r="24" ht="25" customHeight="1">
      <c r="A24" s="66" t="inlineStr">
        <is>
          <t>Wijzigingen voor de actuele rekenversie</t>
        </is>
      </c>
      <c r="B24" s="66" t="n"/>
      <c r="C24" s="66" t="n"/>
      <c r="D24" s="66" t="n"/>
      <c r="E24" s="66" t="n"/>
      <c r="F24" s="66" t="n"/>
      <c r="G24" s="66" t="n"/>
      <c r="H24" s="66" t="n"/>
    </row>
    <row r="25" ht="57" customHeight="1">
      <c r="A25" s="13" t="inlineStr">
        <is>
          <t>V3</t>
        </is>
      </c>
      <c r="B25" s="13" t="inlineStr">
        <is>
          <t>Tekening</t>
        </is>
      </c>
      <c r="C25" s="13" t="inlineStr">
        <is>
          <t>Haven_DO.dwg van 23 oktober 2026</t>
        </is>
      </c>
      <c r="D25" s="13" t="inlineStr">
        <is>
          <t>Verwerkt</t>
        </is>
      </c>
      <c r="E25" s="13" t="inlineStr">
        <is>
          <t>Kades, terreinen, route, diepten en terminaldetails gekoppeld.</t>
        </is>
      </c>
      <c r="F25" s="1" t="n"/>
      <c r="G25" s="1" t="n"/>
      <c r="H25" s="1" t="n"/>
    </row>
    <row r="26" ht="57" customHeight="1">
      <c r="A26" s="13" t="inlineStr">
        <is>
          <t>V3</t>
        </is>
      </c>
      <c r="B26" s="13" t="inlineStr">
        <is>
          <t>Opslag</t>
        </is>
      </c>
      <c r="C26" s="13" t="inlineStr">
        <is>
          <t>Bruikbare slots en loodsgegevens blijven invulvelden</t>
        </is>
      </c>
      <c r="D26" s="13" t="inlineStr">
        <is>
          <t>Invoer nodig</t>
        </is>
      </c>
      <c r="E26" s="13" t="inlineStr">
        <is>
          <t>Geen fictieve slotcapaciteit uit de getekende oppervlakte afgeleid.</t>
        </is>
      </c>
      <c r="F26" s="1" t="n"/>
      <c r="G26" s="1" t="n"/>
      <c r="H26" s="1" t="n"/>
    </row>
    <row r="27" ht="57" customHeight="1">
      <c r="A27" s="13" t="inlineStr">
        <is>
          <t>V3</t>
        </is>
      </c>
      <c r="B27" s="13" t="inlineStr">
        <is>
          <t>Nautiek</t>
        </is>
      </c>
      <c r="C27" s="13" t="inlineStr">
        <is>
          <t>Binnenste zwaaiplaats 670 m apart getoetst</t>
        </is>
      </c>
      <c r="D27" s="13" t="inlineStr">
        <is>
          <t>Onderbouwing nodig</t>
        </is>
      </c>
      <c r="E27" s="13" t="inlineStr">
        <is>
          <t>Buitenste 720 m blijft aanwezig; vergelijk met eerder criterium 701,4 m.</t>
        </is>
      </c>
      <c r="F27" s="1" t="n"/>
      <c r="G27" s="1" t="n"/>
      <c r="H27" s="1" t="n"/>
    </row>
    <row r="28" ht="57" customHeight="1">
      <c r="A28" s="13" t="inlineStr">
        <is>
          <t>V3</t>
        </is>
      </c>
      <c r="B28" s="13" t="inlineStr">
        <is>
          <t>Grondwerk</t>
        </is>
      </c>
      <c r="C28" s="13" t="inlineStr">
        <is>
          <t>Nieuwe diepten en unieke deelvlakken</t>
        </is>
      </c>
      <c r="D28" s="13" t="inlineStr">
        <is>
          <t>Onvolledig</t>
        </is>
      </c>
      <c r="E28" s="13" t="inlineStr">
        <is>
          <t>Geen baggervolume zonder bestaande bodem en sluitende rekenvlakken.</t>
        </is>
      </c>
      <c r="F28" s="1" t="n"/>
      <c r="G28" s="1" t="n"/>
      <c r="H28" s="1" t="n"/>
    </row>
    <row r="29" ht="57" customHeight="1">
      <c r="A29" s="13" t="inlineStr">
        <is>
          <t>V3</t>
        </is>
      </c>
      <c r="B29" s="13" t="inlineStr">
        <is>
          <t>Hoofdrapport</t>
        </is>
      </c>
      <c r="C29" s="13" t="inlineStr">
        <is>
          <t>Hoofdrapport en tekenbrief van 22 oktober</t>
        </is>
      </c>
      <c r="D29" s="13" t="inlineStr">
        <is>
          <t>Nog oude versie</t>
        </is>
      </c>
      <c r="E29" s="13" t="inlineStr">
        <is>
          <t>Het controleverslag beschrijft de verschillen; Excel is nu bijgewerkt.</t>
        </is>
      </c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2026-10-23T09:00:55Z</dcterms:created>
  <dcterms:modified xmlns:dcterms="http://purl.org/dc/terms/" xmlns:xsi="http://www.w3.org/2001/XMLSchema-instance" xsi:type="dcterms:W3CDTF">2026-10-23T09:00:55Z</dcterms:modified>
</cp:coreProperties>
</file>