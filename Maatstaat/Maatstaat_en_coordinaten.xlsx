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atstaat DO" sheetId="1" state="visible" r:id="rId1"/>
    <sheet xmlns:r="http://schemas.openxmlformats.org/officeDocument/2006/relationships" name="Ankerpunten" sheetId="2" state="visible" r:id="rId2"/>
    <sheet xmlns:r="http://schemas.openxmlformats.org/officeDocument/2006/relationships" name="Ankerpunten SO" sheetId="3" state="visible" r:id="rId3"/>
    <sheet xmlns:r="http://schemas.openxmlformats.org/officeDocument/2006/relationships" name="Georeferentie" sheetId="4" state="visible" r:id="rId4"/>
    <sheet xmlns:r="http://schemas.openxmlformats.org/officeDocument/2006/relationships" name="Kustcontrole" sheetId="5" state="visible" r:id="rId5"/>
    <sheet xmlns:r="http://schemas.openxmlformats.org/officeDocument/2006/relationships" name="Besluitenlijst SO-DO"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b val="1"/>
      <color rgb="00FFFFFF"/>
    </font>
    <font>
      <b val="1"/>
    </font>
  </fonts>
  <fills count="4">
    <fill>
      <patternFill/>
    </fill>
    <fill>
      <patternFill patternType="gray125"/>
    </fill>
    <fill>
      <patternFill patternType="solid">
        <fgColor rgb="001B4332"/>
      </patternFill>
    </fill>
    <fill>
      <patternFill patternType="solid">
        <fgColor rgb="00FFF3B0"/>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3"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3" fillId="0" borderId="0" pivotButton="0" quotePrefix="0" xfId="0"/>
    <xf numFmtId="0" fontId="2" fillId="2"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9"/>
  <sheetViews>
    <sheetView workbookViewId="0">
      <pane ySplit="4" topLeftCell="A5" activePane="bottomLeft" state="frozen"/>
      <selection pane="bottomLeft" activeCell="A1" sqref="A1"/>
    </sheetView>
  </sheetViews>
  <sheetFormatPr baseColWidth="8" defaultRowHeight="15"/>
  <cols>
    <col width="48" customWidth="1" min="1" max="1"/>
    <col width="9" customWidth="1" min="2" max="2"/>
    <col width="14" customWidth="1" min="3" max="3"/>
    <col width="14" customWidth="1" min="4" max="4"/>
    <col width="26" customWidth="1" min="5" max="5"/>
    <col width="22" customWidth="1" min="6" max="6"/>
  </cols>
  <sheetData>
    <row r="1">
      <c r="A1" s="1" t="inlineStr">
        <is>
          <t>Maatstaat definitief ontwerp - gemeten in de tekening</t>
        </is>
      </c>
    </row>
    <row r="2">
      <c r="A2" t="inlineStr">
        <is>
          <t>Havenontwerp Groep 1 | DO versie 2.0 | 22-10-2026 | SIRGAS 2000 / UTM 24S (EPSG:31984), meter</t>
        </is>
      </c>
    </row>
    <row r="4">
      <c r="A4" s="2" t="inlineStr">
        <is>
          <t>Onderdeel</t>
        </is>
      </c>
      <c r="B4" s="2" t="inlineStr">
        <is>
          <t>Eenheid</t>
        </is>
      </c>
      <c r="C4" s="2" t="inlineStr">
        <is>
          <t>Gemeten DO</t>
        </is>
      </c>
      <c r="D4" s="2" t="inlineStr">
        <is>
          <t>Rekenboek/eis</t>
        </is>
      </c>
      <c r="E4" s="2" t="inlineStr">
        <is>
          <t>Cel / bron</t>
        </is>
      </c>
      <c r="F4" s="2" t="inlineStr">
        <is>
          <t>Status</t>
        </is>
      </c>
    </row>
    <row r="5">
      <c r="A5" s="3" t="inlineStr">
        <is>
          <t>Hoofdgeul bodembreedte</t>
        </is>
      </c>
      <c r="B5" s="3" t="inlineStr">
        <is>
          <t>m</t>
        </is>
      </c>
      <c r="C5" s="4" t="n">
        <v>220</v>
      </c>
      <c r="D5" s="3" t="n">
        <v>220</v>
      </c>
      <c r="E5" s="3" t="inlineStr">
        <is>
          <t>Nautiek D20</t>
        </is>
      </c>
      <c r="F5" s="3" t="inlineStr">
        <is>
          <t>rekenuitkomst</t>
        </is>
      </c>
    </row>
    <row r="6">
      <c r="A6" s="3" t="inlineStr">
        <is>
          <t>Bodemhoogte geul en bekkens</t>
        </is>
      </c>
      <c r="B6" s="3" t="inlineStr">
        <is>
          <t>m MLWS</t>
        </is>
      </c>
      <c r="C6" s="5" t="n">
        <v>-18.2</v>
      </c>
      <c r="D6" s="3" t="n">
        <v>-18.2</v>
      </c>
      <c r="E6" s="3" t="inlineStr">
        <is>
          <t>Nautiek D25</t>
        </is>
      </c>
      <c r="F6" s="3" t="inlineStr">
        <is>
          <t>voorlopig</t>
        </is>
      </c>
    </row>
    <row r="7">
      <c r="A7" s="3" t="inlineStr">
        <is>
          <t>Geullengte buiten havenmond</t>
        </is>
      </c>
      <c r="B7" s="3" t="inlineStr">
        <is>
          <t>m</t>
        </is>
      </c>
      <c r="C7" s="4" t="n">
        <v>20225</v>
      </c>
      <c r="D7" s="3" t="n"/>
      <c r="E7" s="3" t="inlineStr">
        <is>
          <t>Nautiek D31</t>
        </is>
      </c>
      <c r="F7" s="3" t="inlineStr">
        <is>
          <t>GEBCO, geen peiling</t>
        </is>
      </c>
    </row>
    <row r="8">
      <c r="A8" s="3" t="inlineStr">
        <is>
          <t>Vaarafstand geuleinde - draaikom</t>
        </is>
      </c>
      <c r="B8" s="3" t="inlineStr">
        <is>
          <t>m</t>
        </is>
      </c>
      <c r="C8" s="4" t="n">
        <v>21946</v>
      </c>
      <c r="D8" s="3" t="n"/>
      <c r="E8" s="3" t="inlineStr">
        <is>
          <t>Nautiek D31</t>
        </is>
      </c>
      <c r="F8" s="3" t="inlineStr">
        <is>
          <t>GEBCO, geen peiling</t>
        </is>
      </c>
    </row>
    <row r="9">
      <c r="A9" s="3" t="inlineStr">
        <is>
          <t>Vrije draaikom voorhaven diameter</t>
        </is>
      </c>
      <c r="B9" s="3" t="inlineStr">
        <is>
          <t>m</t>
        </is>
      </c>
      <c r="C9" s="4" t="n">
        <v>720</v>
      </c>
      <c r="D9" s="3" t="n">
        <v>720</v>
      </c>
      <c r="E9" s="3" t="inlineStr">
        <is>
          <t>Nautiek D28</t>
        </is>
      </c>
      <c r="F9" s="3" t="inlineStr">
        <is>
          <t>vrij getoetst</t>
        </is>
      </c>
    </row>
    <row r="10">
      <c r="A10" s="3" t="inlineStr">
        <is>
          <t>Geul: recht stuk / bochtstraal / richting</t>
        </is>
      </c>
      <c r="B10" s="3" t="inlineStr">
        <is>
          <t>m / m / gr</t>
        </is>
      </c>
      <c r="C10" s="4" t="inlineStr">
        <is>
          <t>2.500 / 3.400 / 145</t>
        </is>
      </c>
      <c r="D10" s="3" t="n"/>
      <c r="E10" s="3" t="inlineStr">
        <is>
          <t>PIANC WG121 (R &gt;= 5 LOA)</t>
        </is>
      </c>
      <c r="F10" s="3" t="inlineStr">
        <is>
          <t>bocht 260 m breed</t>
        </is>
      </c>
    </row>
    <row r="11">
      <c r="A11" s="3" t="inlineStr">
        <is>
          <t>Geul rechtdoor (variant)</t>
        </is>
      </c>
      <c r="B11" s="3" t="inlineStr">
        <is>
          <t>m</t>
        </is>
      </c>
      <c r="C11" s="4" t="n">
        <v>35000</v>
      </c>
      <c r="D11" s="3" t="n"/>
      <c r="E11" s="3" t="inlineStr">
        <is>
          <t>DO-10</t>
        </is>
      </c>
      <c r="F11" s="3" t="inlineStr">
        <is>
          <t>afgevallen</t>
        </is>
      </c>
    </row>
    <row r="12">
      <c r="A12" s="3" t="inlineStr">
        <is>
          <t>Draaikom tot afgemeerde schepen</t>
        </is>
      </c>
      <c r="B12" s="3" t="inlineStr">
        <is>
          <t>m</t>
        </is>
      </c>
      <c r="C12" s="4" t="n">
        <v>416</v>
      </c>
      <c r="D12" s="3" t="inlineStr">
        <is>
          <t>&gt;0</t>
        </is>
      </c>
      <c r="E12" s="3" t="inlineStr"/>
      <c r="F12" s="3" t="inlineStr">
        <is>
          <t>voldoet</t>
        </is>
      </c>
    </row>
    <row r="13">
      <c r="A13" s="3" t="inlineStr">
        <is>
          <t>Draaikom tot kades/dammen</t>
        </is>
      </c>
      <c r="B13" s="3" t="inlineStr">
        <is>
          <t>m</t>
        </is>
      </c>
      <c r="C13" s="4" t="n">
        <v>397</v>
      </c>
      <c r="D13" s="3" t="inlineStr">
        <is>
          <t>&gt;0</t>
        </is>
      </c>
      <c r="E13" s="3" t="inlineStr"/>
      <c r="F13" s="3" t="inlineStr">
        <is>
          <t>voldoet</t>
        </is>
      </c>
    </row>
    <row r="14">
      <c r="A14" s="3" t="inlineStr">
        <is>
          <t>Havenmond vrij tussen footprints</t>
        </is>
      </c>
      <c r="B14" s="3" t="inlineStr">
        <is>
          <t>m</t>
        </is>
      </c>
      <c r="C14" s="4" t="n">
        <v>350</v>
      </c>
      <c r="D14" s="3" t="n">
        <v>350</v>
      </c>
      <c r="E14" s="3" t="inlineStr">
        <is>
          <t>Nautiek D29</t>
        </is>
      </c>
      <c r="F14" s="3" t="inlineStr">
        <is>
          <t>voldoet</t>
        </is>
      </c>
    </row>
    <row r="15">
      <c r="A15" s="3" t="inlineStr">
        <is>
          <t>Stopweg havenmond - draaikom</t>
        </is>
      </c>
      <c r="B15" s="3" t="inlineStr">
        <is>
          <t>m</t>
        </is>
      </c>
      <c r="C15" s="4" t="n">
        <v>1720</v>
      </c>
      <c r="D15" s="3" t="n">
        <v>1670</v>
      </c>
      <c r="E15" s="3" t="inlineStr">
        <is>
          <t>5 x LOA</t>
        </is>
      </c>
      <c r="F15" s="3" t="inlineStr">
        <is>
          <t>voldoet</t>
        </is>
      </c>
    </row>
    <row r="16">
      <c r="A16" s="3" t="inlineStr">
        <is>
          <t>Sleepbootkoppelpunt buiten mond</t>
        </is>
      </c>
      <c r="B16" s="3" t="inlineStr">
        <is>
          <t>m</t>
        </is>
      </c>
      <c r="C16" s="4" t="n">
        <v>1500</v>
      </c>
      <c r="D16" s="3" t="n"/>
      <c r="E16" s="3" t="inlineStr">
        <is>
          <t>rapport 5.1</t>
        </is>
      </c>
      <c r="F16" s="3" t="inlineStr">
        <is>
          <t>ingetekend</t>
        </is>
      </c>
    </row>
    <row r="17">
      <c r="A17" s="3" t="inlineStr">
        <is>
          <t>Containerkade fase 1</t>
        </is>
      </c>
      <c r="B17" s="3" t="inlineStr">
        <is>
          <t>m</t>
        </is>
      </c>
      <c r="C17" s="4" t="n">
        <v>802.1921820131856</v>
      </c>
      <c r="D17" s="3" t="n">
        <v>800</v>
      </c>
      <c r="E17" s="3" t="inlineStr">
        <is>
          <t>Containers D18</t>
        </is>
      </c>
      <c r="F17" s="3" t="inlineStr">
        <is>
          <t>gelijk</t>
        </is>
      </c>
    </row>
    <row r="18">
      <c r="A18" s="3" t="inlineStr">
        <is>
          <t>Containerkade fase 2</t>
        </is>
      </c>
      <c r="B18" s="3" t="inlineStr">
        <is>
          <t>m</t>
        </is>
      </c>
      <c r="C18" s="4" t="n">
        <v>1203.288273019332</v>
      </c>
      <c r="D18" s="3" t="n">
        <v>1200</v>
      </c>
      <c r="E18" s="3" t="inlineStr">
        <is>
          <t>Containers E18</t>
        </is>
      </c>
      <c r="F18" s="3" t="inlineStr">
        <is>
          <t>gelijk</t>
        </is>
      </c>
    </row>
    <row r="19">
      <c r="A19" s="3" t="inlineStr">
        <is>
          <t>Containerkade fase 3</t>
        </is>
      </c>
      <c r="B19" s="3" t="inlineStr">
        <is>
          <t>m</t>
        </is>
      </c>
      <c r="C19" s="4" t="n">
        <v>1604.384364026371</v>
      </c>
      <c r="D19" s="3" t="n">
        <v>1600</v>
      </c>
      <c r="E19" s="3" t="inlineStr">
        <is>
          <t>Containers F18</t>
        </is>
      </c>
      <c r="F19" s="3" t="inlineStr">
        <is>
          <t>gelijk</t>
        </is>
      </c>
    </row>
    <row r="20">
      <c r="A20" s="3" t="inlineStr">
        <is>
          <t>Containerterrein fase 1</t>
        </is>
      </c>
      <c r="B20" s="3" t="inlineStr">
        <is>
          <t>ha</t>
        </is>
      </c>
      <c r="C20" s="6" t="n">
        <v>72</v>
      </c>
      <c r="D20" s="3" t="n">
        <v>72</v>
      </c>
      <c r="E20" s="3" t="inlineStr">
        <is>
          <t>Invoer D20 (vraag 40,8)</t>
        </is>
      </c>
      <c r="F20" s="3" t="inlineStr">
        <is>
          <t>gelijk</t>
        </is>
      </c>
    </row>
    <row r="21">
      <c r="A21" s="3" t="inlineStr">
        <is>
          <t>Containerterrein fase 2</t>
        </is>
      </c>
      <c r="B21" s="3" t="inlineStr">
        <is>
          <t>ha</t>
        </is>
      </c>
      <c r="C21" s="6" t="n">
        <v>108</v>
      </c>
      <c r="D21" s="3" t="n">
        <v>108</v>
      </c>
      <c r="E21" s="3" t="inlineStr">
        <is>
          <t>Invoer E20 (vraag 67,9)</t>
        </is>
      </c>
      <c r="F21" s="3" t="inlineStr">
        <is>
          <t>gelijk</t>
        </is>
      </c>
    </row>
    <row r="22">
      <c r="A22" s="3" t="inlineStr">
        <is>
          <t>Containerterrein fase 3</t>
        </is>
      </c>
      <c r="B22" s="3" t="inlineStr">
        <is>
          <t>ha</t>
        </is>
      </c>
      <c r="C22" s="6" t="n">
        <v>144</v>
      </c>
      <c r="D22" s="3" t="n">
        <v>144</v>
      </c>
      <c r="E22" s="3" t="inlineStr">
        <is>
          <t>Invoer F20 (vraag 135,9)</t>
        </is>
      </c>
      <c r="F22" s="3" t="inlineStr">
        <is>
          <t>gelijk</t>
        </is>
      </c>
    </row>
    <row r="23">
      <c r="A23" s="3" t="inlineStr">
        <is>
          <t>Graankade</t>
        </is>
      </c>
      <c r="B23" s="3" t="inlineStr">
        <is>
          <t>m</t>
        </is>
      </c>
      <c r="C23" s="4" t="n">
        <v>300</v>
      </c>
      <c r="D23" s="3" t="n">
        <v>300</v>
      </c>
      <c r="E23" s="3" t="inlineStr">
        <is>
          <t>rapport 8.1</t>
        </is>
      </c>
      <c r="F23" s="3" t="inlineStr">
        <is>
          <t>gelijk</t>
        </is>
      </c>
    </row>
    <row r="24">
      <c r="A24" s="3" t="inlineStr">
        <is>
          <t>Graanterrein</t>
        </is>
      </c>
      <c r="B24" s="3" t="inlineStr">
        <is>
          <t>ha</t>
        </is>
      </c>
      <c r="C24" s="6" t="n">
        <v>30.4</v>
      </c>
      <c r="D24" s="3" t="n">
        <v>30</v>
      </c>
      <c r="E24" s="3" t="inlineStr">
        <is>
          <t>Invoer D39 (vraag 5,1)</t>
        </is>
      </c>
      <c r="F24" s="3" t="inlineStr">
        <is>
          <t>gelijk</t>
        </is>
      </c>
    </row>
    <row r="25">
      <c r="A25" s="3" t="inlineStr">
        <is>
          <t>RoRo-kade</t>
        </is>
      </c>
      <c r="B25" s="3" t="inlineStr">
        <is>
          <t>m</t>
        </is>
      </c>
      <c r="C25" s="4" t="n">
        <v>300</v>
      </c>
      <c r="D25" s="3" t="n">
        <v>300</v>
      </c>
      <c r="E25" s="3" t="inlineStr">
        <is>
          <t>rapport 8.2</t>
        </is>
      </c>
      <c r="F25" s="3" t="inlineStr">
        <is>
          <t>gelijk</t>
        </is>
      </c>
    </row>
    <row r="26">
      <c r="A26" s="3" t="inlineStr">
        <is>
          <t>RoRo-terrein</t>
        </is>
      </c>
      <c r="B26" s="3" t="inlineStr">
        <is>
          <t>ha</t>
        </is>
      </c>
      <c r="C26" s="6" t="n">
        <v>30.2</v>
      </c>
      <c r="D26" s="3" t="n">
        <v>30</v>
      </c>
      <c r="E26" s="3" t="inlineStr">
        <is>
          <t>Invoer D46 (vraag 26,9)</t>
        </is>
      </c>
      <c r="F26" s="3" t="inlineStr">
        <is>
          <t>gelijk</t>
        </is>
      </c>
    </row>
    <row r="27">
      <c r="A27" s="3" t="inlineStr">
        <is>
          <t>Zwaaiplaats binnenhaven</t>
        </is>
      </c>
      <c r="B27" s="3" t="inlineStr">
        <is>
          <t>m</t>
        </is>
      </c>
      <c r="C27" s="4" t="n">
        <v>670</v>
      </c>
      <c r="D27" s="3" t="n">
        <v>668</v>
      </c>
      <c r="E27" s="3" t="inlineStr">
        <is>
          <t>2 x LOA container</t>
        </is>
      </c>
      <c r="F27" s="3" t="inlineStr">
        <is>
          <t>vrij getoetst</t>
        </is>
      </c>
    </row>
    <row r="28">
      <c r="A28" s="3" t="inlineStr">
        <is>
          <t xml:space="preserve">  afstand tot oever</t>
        </is>
      </c>
      <c r="B28" s="3" t="inlineStr">
        <is>
          <t>m</t>
        </is>
      </c>
      <c r="C28" s="4" t="n">
        <v>156</v>
      </c>
      <c r="D28" s="3" t="inlineStr">
        <is>
          <t>&gt;0</t>
        </is>
      </c>
      <c r="E28" s="3" t="inlineStr"/>
      <c r="F28" s="3" t="inlineStr">
        <is>
          <t>voldoet</t>
        </is>
      </c>
    </row>
    <row r="29">
      <c r="A29" s="3" t="inlineStr">
        <is>
          <t>Dieptezone LNG-vaarweg en -ligplaats</t>
        </is>
      </c>
      <c r="B29" s="3" t="inlineStr">
        <is>
          <t>m MLWS</t>
        </is>
      </c>
      <c r="C29" s="5" t="n">
        <v>-16.2</v>
      </c>
      <c r="D29" s="3" t="n">
        <v>-16.2</v>
      </c>
      <c r="E29" s="3" t="inlineStr">
        <is>
          <t>diepgang 12,5 + 3,7</t>
        </is>
      </c>
      <c r="F29" s="3" t="inlineStr">
        <is>
          <t>bespaart bagger</t>
        </is>
      </c>
    </row>
    <row r="30">
      <c r="A30" s="3" t="inlineStr">
        <is>
          <t>Dieptezone RoRo-ligplaats</t>
        </is>
      </c>
      <c r="B30" s="3" t="inlineStr">
        <is>
          <t>m MLWS</t>
        </is>
      </c>
      <c r="C30" s="5" t="n">
        <v>-13.7</v>
      </c>
      <c r="D30" s="3" t="n">
        <v>-13.7</v>
      </c>
      <c r="E30" s="3" t="inlineStr">
        <is>
          <t>diepgang 10,0 + 3,7</t>
        </is>
      </c>
      <c r="F30" s="3" t="inlineStr">
        <is>
          <t>bespaart bagger</t>
        </is>
      </c>
    </row>
    <row r="31">
      <c r="A31" s="3" t="inlineStr">
        <is>
          <t>Golftoets containers (Hs insteek)</t>
        </is>
      </c>
      <c r="B31" s="3" t="inlineStr">
        <is>
          <t>m</t>
        </is>
      </c>
      <c r="C31" s="4" t="n">
        <v>0.24</v>
      </c>
      <c r="D31" s="3" t="n">
        <v>0.5</v>
      </c>
      <c r="E31" s="3" t="inlineStr">
        <is>
          <t>DO-09</t>
        </is>
      </c>
      <c r="F31" s="3" t="inlineStr">
        <is>
          <t>voldoet</t>
        </is>
      </c>
    </row>
    <row r="32">
      <c r="A32" s="3" t="inlineStr">
        <is>
          <t>Golftoets graan (Hs, open kade)</t>
        </is>
      </c>
      <c r="B32" s="3" t="inlineStr">
        <is>
          <t>m</t>
        </is>
      </c>
      <c r="C32" s="4" t="n">
        <v>0.96</v>
      </c>
      <c r="D32" s="3" t="n">
        <v>1</v>
      </c>
      <c r="E32" s="3" t="inlineStr">
        <is>
          <t>DO-09</t>
        </is>
      </c>
      <c r="F32" s="3" t="inlineStr">
        <is>
          <t>voldoet</t>
        </is>
      </c>
    </row>
    <row r="33">
      <c r="A33" s="3" t="inlineStr">
        <is>
          <t>Golftoets RoRo (Hs)</t>
        </is>
      </c>
      <c r="B33" s="3" t="inlineStr">
        <is>
          <t>m</t>
        </is>
      </c>
      <c r="C33" s="4" t="n">
        <v>0.17</v>
      </c>
      <c r="D33" s="3" t="n">
        <v>0.3</v>
      </c>
      <c r="E33" s="3" t="inlineStr">
        <is>
          <t>DO-09</t>
        </is>
      </c>
      <c r="F33" s="3" t="inlineStr">
        <is>
          <t>voldoet</t>
        </is>
      </c>
    </row>
    <row r="34">
      <c r="A34" s="3" t="inlineStr">
        <is>
          <t>Golftoets LNG (Hs)</t>
        </is>
      </c>
      <c r="B34" s="3" t="inlineStr">
        <is>
          <t>m</t>
        </is>
      </c>
      <c r="C34" s="4" t="n">
        <v>0.98</v>
      </c>
      <c r="D34" s="3" t="n">
        <v>1</v>
      </c>
      <c r="E34" s="3" t="inlineStr">
        <is>
          <t>DO-09</t>
        </is>
      </c>
      <c r="F34" s="3" t="inlineStr">
        <is>
          <t>voldoet</t>
        </is>
      </c>
    </row>
    <row r="35">
      <c r="A35" s="3" t="inlineStr">
        <is>
          <t>LNG cryogene leiding</t>
        </is>
      </c>
      <c r="B35" s="3" t="inlineStr">
        <is>
          <t>m</t>
        </is>
      </c>
      <c r="C35" s="4" t="n">
        <v>1223</v>
      </c>
      <c r="D35" s="3" t="n"/>
      <c r="E35" s="3" t="inlineStr"/>
      <c r="F35" s="3" t="inlineStr">
        <is>
          <t>ingekort</t>
        </is>
      </c>
    </row>
    <row r="36">
      <c r="A36" s="3" t="inlineStr">
        <is>
          <t>Schepen in LNG-zone 250 m</t>
        </is>
      </c>
      <c r="B36" s="3" t="inlineStr">
        <is>
          <t>st</t>
        </is>
      </c>
      <c r="C36" s="4" t="n">
        <v>0</v>
      </c>
      <c r="D36" s="3" t="n">
        <v>0</v>
      </c>
      <c r="E36" s="3" t="inlineStr">
        <is>
          <t>Hong Kong LNG annex</t>
        </is>
      </c>
      <c r="F36" s="3" t="inlineStr">
        <is>
          <t>voldoet</t>
        </is>
      </c>
    </row>
    <row r="37">
      <c r="A37" s="3" t="inlineStr">
        <is>
          <t>Containerterrein tot tankzone 250 m</t>
        </is>
      </c>
      <c r="B37" s="3" t="inlineStr">
        <is>
          <t>m</t>
        </is>
      </c>
      <c r="C37" s="4" t="n">
        <v>227</v>
      </c>
      <c r="D37" s="3" t="inlineStr">
        <is>
          <t>&gt;0</t>
        </is>
      </c>
      <c r="E37" s="3" t="inlineStr"/>
      <c r="F37" s="3" t="inlineStr">
        <is>
          <t>voldoet; QRA volgt</t>
        </is>
      </c>
    </row>
    <row r="38">
      <c r="A38" s="3" t="inlineStr">
        <is>
          <t xml:space="preserve">  afstand tot afgemeerde schepen</t>
        </is>
      </c>
      <c r="B38" s="3" t="inlineStr">
        <is>
          <t>m</t>
        </is>
      </c>
      <c r="C38" s="4" t="n">
        <v>115</v>
      </c>
      <c r="D38" s="3" t="inlineStr">
        <is>
          <t>&gt;0</t>
        </is>
      </c>
      <c r="E38" s="3" t="inlineStr"/>
      <c r="F38" s="3" t="inlineStr">
        <is>
          <t>voldoet</t>
        </is>
      </c>
    </row>
    <row r="39">
      <c r="A39" s="3" t="inlineStr">
        <is>
          <t>LNG-ligplaatsenvelop</t>
        </is>
      </c>
      <c r="B39" s="3" t="inlineStr">
        <is>
          <t>m</t>
        </is>
      </c>
      <c r="C39" s="4" t="n">
        <v>400</v>
      </c>
      <c r="D39" s="3" t="n">
        <v>400</v>
      </c>
      <c r="E39" s="3" t="inlineStr">
        <is>
          <t>tekenbrief</t>
        </is>
      </c>
      <c r="F39" s="3" t="inlineStr">
        <is>
          <t>dolphins indicatief</t>
        </is>
      </c>
    </row>
    <row r="40">
      <c r="A40" s="3" t="inlineStr">
        <is>
          <t>LNG-envelop tot draaikom</t>
        </is>
      </c>
      <c r="B40" s="3" t="inlineStr">
        <is>
          <t>m</t>
        </is>
      </c>
      <c r="C40" s="4" t="n">
        <v>989</v>
      </c>
      <c r="D40" s="3" t="inlineStr">
        <is>
          <t>&gt;0</t>
        </is>
      </c>
      <c r="E40" s="3" t="inlineStr"/>
      <c r="F40" s="3" t="inlineStr">
        <is>
          <t>vrij; QRA volgt</t>
        </is>
      </c>
    </row>
    <row r="41">
      <c r="A41" s="3" t="inlineStr">
        <is>
          <t>LNG-tanks tot containerterrein</t>
        </is>
      </c>
      <c r="B41" s="3" t="inlineStr">
        <is>
          <t>m</t>
        </is>
      </c>
      <c r="C41" s="4" t="n">
        <v>477</v>
      </c>
      <c r="D41" s="3" t="n"/>
      <c r="E41" s="3" t="inlineStr"/>
      <c r="F41" s="3" t="inlineStr">
        <is>
          <t>QRA volgt</t>
        </is>
      </c>
    </row>
    <row r="42">
      <c r="A42" s="3" t="inlineStr">
        <is>
          <t>LNG-zone (tanks + hervergassing)</t>
        </is>
      </c>
      <c r="B42" s="3" t="inlineStr">
        <is>
          <t>ha</t>
        </is>
      </c>
      <c r="C42" s="6" t="n">
        <v>54.9</v>
      </c>
      <c r="D42" s="3" t="n"/>
      <c r="E42" s="3" t="inlineStr">
        <is>
          <t>Invoer D51-D52</t>
        </is>
      </c>
      <c r="F42" s="3" t="inlineStr">
        <is>
          <t>3 tanks + optie 4e</t>
        </is>
      </c>
    </row>
    <row r="43">
      <c r="A43" s="3" t="inlineStr">
        <is>
          <t>Centrale + utilities (reservering)</t>
        </is>
      </c>
      <c r="B43" s="3" t="inlineStr">
        <is>
          <t>ha</t>
        </is>
      </c>
      <c r="C43" s="6" t="n">
        <v>43.5</v>
      </c>
      <c r="D43" s="3" t="n"/>
      <c r="E43" s="3" t="inlineStr">
        <is>
          <t>geen vast oppervlak</t>
        </is>
      </c>
      <c r="F43" s="3" t="inlineStr">
        <is>
          <t>reservering</t>
        </is>
      </c>
    </row>
    <row r="44">
      <c r="A44" s="3" t="inlineStr">
        <is>
          <t>STS-kranen F1 / F2 / F3</t>
        </is>
      </c>
      <c r="B44" s="3" t="inlineStr">
        <is>
          <t>st</t>
        </is>
      </c>
      <c r="C44" s="4" t="inlineStr">
        <is>
          <t>6 / 12 / 20</t>
        </is>
      </c>
      <c r="D44" s="3" t="inlineStr">
        <is>
          <t>6 / 12 / 20</t>
        </is>
      </c>
      <c r="E44" s="3" t="inlineStr">
        <is>
          <t>Containers D19-F19</t>
        </is>
      </c>
      <c r="F44" s="3" t="inlineStr">
        <is>
          <t>gelijk</t>
        </is>
      </c>
    </row>
    <row r="45">
      <c r="A45" s="3" t="inlineStr">
        <is>
          <t>TEU-grondslots stackzone F3 (28 m2/slot)</t>
        </is>
      </c>
      <c r="B45" s="3" t="inlineStr">
        <is>
          <t>slots</t>
        </is>
      </c>
      <c r="C45" s="4" t="n">
        <v>40558</v>
      </c>
      <c r="D45" s="3" t="n">
        <v>40444</v>
      </c>
      <c r="E45" s="3" t="inlineStr">
        <is>
          <t>Containers F25</t>
        </is>
      </c>
      <c r="F45" s="3" t="inlineStr">
        <is>
          <t>voldoet</t>
        </is>
      </c>
    </row>
    <row r="46">
      <c r="A46" s="3" t="inlineStr">
        <is>
          <t>Stackzone bruto</t>
        </is>
      </c>
      <c r="B46" s="3" t="inlineStr">
        <is>
          <t>ha</t>
        </is>
      </c>
      <c r="C46" s="6" t="n">
        <v>113.6</v>
      </c>
      <c r="D46" s="3" t="n">
        <v>113.2</v>
      </c>
      <c r="E46" s="3" t="inlineStr">
        <is>
          <t>Containers F26</t>
        </is>
      </c>
      <c r="F46" s="3" t="inlineStr">
        <is>
          <t>voldoet</t>
        </is>
      </c>
    </row>
    <row r="47">
      <c r="A47" s="3" t="inlineStr">
        <is>
          <t>Graansilo's 8 x D 30 m x 40 m</t>
        </is>
      </c>
      <c r="B47" s="3" t="inlineStr">
        <is>
          <t>t</t>
        </is>
      </c>
      <c r="C47" s="4" t="n">
        <v>169646</v>
      </c>
      <c r="D47" s="3" t="n">
        <v>154100</v>
      </c>
      <c r="E47" s="3" t="inlineStr">
        <is>
          <t>Overige terminals F9</t>
        </is>
      </c>
      <c r="F47" s="3" t="inlineStr">
        <is>
          <t>voldoet</t>
        </is>
      </c>
    </row>
    <row r="48">
      <c r="A48" s="3" t="inlineStr">
        <is>
          <t>RoRo-parkeercapaciteit</t>
        </is>
      </c>
      <c r="B48" s="3" t="inlineStr">
        <is>
          <t>auto's</t>
        </is>
      </c>
      <c r="C48" s="4" t="n">
        <v>9698</v>
      </c>
      <c r="D48" s="3" t="n">
        <v>7479</v>
      </c>
      <c r="E48" s="3" t="inlineStr">
        <is>
          <t>Overige terminals F15</t>
        </is>
      </c>
      <c r="F48" s="3" t="inlineStr">
        <is>
          <t>voldoet</t>
        </is>
      </c>
    </row>
    <row r="49">
      <c r="A49" s="3" t="inlineStr">
        <is>
          <t>Centrale STEG-eenheden</t>
        </is>
      </c>
      <c r="B49" s="3" t="inlineStr">
        <is>
          <t>MW</t>
        </is>
      </c>
      <c r="C49" s="4" t="n">
        <v>2260</v>
      </c>
      <c r="D49" s="3" t="n">
        <v>2256</v>
      </c>
      <c r="E49" s="3" t="inlineStr">
        <is>
          <t>Overige terminals F30</t>
        </is>
      </c>
      <c r="F49" s="3" t="inlineStr">
        <is>
          <t>rekenvoorbeeld</t>
        </is>
      </c>
    </row>
    <row r="50">
      <c r="A50" s="3" t="inlineStr">
        <is>
          <t>Havendiensten / sleepboten</t>
        </is>
      </c>
      <c r="B50" s="3" t="inlineStr">
        <is>
          <t>ha</t>
        </is>
      </c>
      <c r="C50" s="6" t="n">
        <v>43</v>
      </c>
      <c r="D50" s="3" t="n"/>
      <c r="E50" s="3" t="inlineStr"/>
      <c r="F50" s="3" t="inlineStr">
        <is>
          <t>reservering</t>
        </is>
      </c>
    </row>
    <row r="51">
      <c r="A51" s="3" t="inlineStr">
        <is>
          <t>Vrije breedte hoofdbekken met graanschip aan de kade</t>
        </is>
      </c>
      <c r="B51" s="3" t="inlineStr">
        <is>
          <t>m</t>
        </is>
      </c>
      <c r="C51" s="4" t="n">
        <v>334</v>
      </c>
      <c r="D51" s="3" t="n">
        <v>220</v>
      </c>
      <c r="E51" s="3" t="inlineStr"/>
      <c r="F51" s="3" t="inlineStr">
        <is>
          <t>voldoet</t>
        </is>
      </c>
    </row>
    <row r="52">
      <c r="A52" s="3" t="inlineStr">
        <is>
          <t>Binnenbekken gebaggerd fase 1</t>
        </is>
      </c>
      <c r="B52" s="3" t="inlineStr">
        <is>
          <t>m2</t>
        </is>
      </c>
      <c r="C52" s="4" t="n">
        <v>1287977</v>
      </c>
      <c r="D52" s="3" t="n"/>
      <c r="E52" s="3" t="inlineStr"/>
      <c r="F52" s="3" t="inlineStr"/>
    </row>
    <row r="53">
      <c r="A53" s="3" t="inlineStr">
        <is>
          <t>Binnenbekken gebaggerd fase 2 (cumulatief)</t>
        </is>
      </c>
      <c r="B53" s="3" t="inlineStr">
        <is>
          <t>m2</t>
        </is>
      </c>
      <c r="C53" s="4" t="n">
        <v>1510224</v>
      </c>
      <c r="D53" s="3" t="n"/>
      <c r="E53" s="3" t="inlineStr"/>
      <c r="F53" s="3" t="inlineStr"/>
    </row>
    <row r="54">
      <c r="A54" s="3" t="inlineStr">
        <is>
          <t>Binnenbekken gebaggerd fase 3 (cumulatief)</t>
        </is>
      </c>
      <c r="B54" s="3" t="inlineStr">
        <is>
          <t>m2</t>
        </is>
      </c>
      <c r="C54" s="4" t="n">
        <v>1740629</v>
      </c>
      <c r="D54" s="3" t="n"/>
      <c r="E54" s="3" t="inlineStr"/>
      <c r="F54" s="3" t="inlineStr"/>
    </row>
    <row r="55">
      <c r="A55" s="3" t="inlineStr">
        <is>
          <t>Voorhaven + LNG-insteek gebaggerd</t>
        </is>
      </c>
      <c r="B55" s="3" t="inlineStr">
        <is>
          <t>m2</t>
        </is>
      </c>
      <c r="C55" s="4" t="n">
        <v>1188749</v>
      </c>
      <c r="D55" s="3" t="n"/>
      <c r="E55" s="3" t="inlineStr"/>
      <c r="F55" s="3" t="inlineStr"/>
    </row>
    <row r="56">
      <c r="A56" s="3" t="inlineStr">
        <is>
          <t>Havenbekken totaal (zone 1)</t>
        </is>
      </c>
      <c r="B56" s="3" t="inlineStr">
        <is>
          <t>m2</t>
        </is>
      </c>
      <c r="C56" s="4" t="n">
        <v>2929377</v>
      </c>
      <c r="D56" s="3" t="n"/>
      <c r="E56" s="3" t="inlineStr">
        <is>
          <t>Grondwerk C6</t>
        </is>
      </c>
      <c r="F56" s="3" t="inlineStr">
        <is>
          <t>ingevuld</t>
        </is>
      </c>
    </row>
    <row r="57">
      <c r="A57" s="3" t="inlineStr">
        <is>
          <t>Geul buiten de mond (zone 2 + 3)</t>
        </is>
      </c>
      <c r="B57" s="3" t="inlineStr">
        <is>
          <t>m2</t>
        </is>
      </c>
      <c r="C57" s="4" t="n">
        <v>4558615</v>
      </c>
      <c r="D57" s="3" t="n"/>
      <c r="E57" s="3" t="inlineStr">
        <is>
          <t>Grondwerk C7 + C8</t>
        </is>
      </c>
      <c r="F57" s="3" t="inlineStr">
        <is>
          <t>gesplitst op -15 m</t>
        </is>
      </c>
    </row>
    <row r="58">
      <c r="A58" s="3" t="inlineStr">
        <is>
          <t>Baggervolume zone 1 / 2 / 3</t>
        </is>
      </c>
      <c r="B58" s="3" t="inlineStr">
        <is>
          <t>mln m3</t>
        </is>
      </c>
      <c r="C58" s="4" t="inlineStr">
        <is>
          <t>61,9 / 18,3 / 1,2</t>
        </is>
      </c>
      <c r="D58" s="3" t="n"/>
      <c r="E58" s="3" t="inlineStr">
        <is>
          <t>Grondwerk F6-F8</t>
        </is>
      </c>
      <c r="F58" s="3" t="inlineStr">
        <is>
          <t>celmethode, indicatief</t>
        </is>
      </c>
    </row>
    <row r="59">
      <c r="A59" s="3" t="inlineStr">
        <is>
          <t>Terreinophoging (terminals, LNG, centrale, havendienst)</t>
        </is>
      </c>
      <c r="B59" s="3" t="inlineStr">
        <is>
          <t>m2</t>
        </is>
      </c>
      <c r="C59" s="4" t="n">
        <v>3459480</v>
      </c>
      <c r="D59" s="3" t="n"/>
      <c r="E59" s="3" t="inlineStr">
        <is>
          <t>Grondwerk D21</t>
        </is>
      </c>
      <c r="F59" s="3" t="inlineStr">
        <is>
          <t>ingevuld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 width="12" customWidth="1" min="7" max="7"/>
    <col width="12" customWidth="1" min="8" max="8"/>
  </cols>
  <sheetData>
    <row r="1">
      <c r="A1" s="1" t="inlineStr">
        <is>
          <t>Ontwerpankerpunten DO</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 WGS84</t>
        </is>
      </c>
      <c r="F4" s="2" t="inlineStr">
        <is>
          <t>Lon WGS84</t>
        </is>
      </c>
      <c r="G4" s="2" t="inlineStr">
        <is>
          <t>x render (px)</t>
        </is>
      </c>
      <c r="H4" s="2" t="inlineStr">
        <is>
          <t>y render (px)</t>
        </is>
      </c>
    </row>
    <row r="5">
      <c r="A5" s="3" t="inlineStr">
        <is>
          <t>A1</t>
        </is>
      </c>
      <c r="B5" s="3" t="inlineStr">
        <is>
          <t>Referentiepunt kust (render 812,5 / 275)</t>
        </is>
      </c>
      <c r="C5" s="3" t="n">
        <v>297135</v>
      </c>
      <c r="D5" s="3" t="n">
        <v>7650000</v>
      </c>
      <c r="E5" s="3" t="n">
        <v>-21.2403293</v>
      </c>
      <c r="F5" s="3" t="n">
        <v>-40.9548262</v>
      </c>
      <c r="G5" s="3" t="n">
        <v>812.5</v>
      </c>
      <c r="H5" s="3" t="n">
        <v>275</v>
      </c>
    </row>
    <row r="6">
      <c r="A6" s="3" t="inlineStr">
        <is>
          <t>A2</t>
        </is>
      </c>
      <c r="B6" s="3" t="inlineStr">
        <is>
          <t>Middelpunt vrije draaikom</t>
        </is>
      </c>
      <c r="C6" s="3" t="n">
        <v>297534.6</v>
      </c>
      <c r="D6" s="3" t="n">
        <v>7649611.92</v>
      </c>
      <c r="E6" s="3" t="n">
        <v>-21.2438783</v>
      </c>
      <c r="F6" s="3" t="n">
        <v>-40.9510234</v>
      </c>
      <c r="G6" s="3" t="n">
        <v>845</v>
      </c>
      <c r="H6" s="3" t="n">
        <v>320</v>
      </c>
    </row>
    <row r="7">
      <c r="A7" s="3" t="inlineStr">
        <is>
          <t>A3</t>
        </is>
      </c>
      <c r="B7" s="3" t="inlineStr">
        <is>
          <t>Midden havenmond</t>
        </is>
      </c>
      <c r="C7" s="3" t="n">
        <v>299233.15</v>
      </c>
      <c r="D7" s="3" t="n">
        <v>7649340.79</v>
      </c>
      <c r="E7" s="3" t="n">
        <v>-21.2465152</v>
      </c>
      <c r="F7" s="3" t="n">
        <v>-40.9346946</v>
      </c>
      <c r="G7" s="3" t="n">
        <v>1007</v>
      </c>
      <c r="H7" s="3" t="n">
        <v>376</v>
      </c>
    </row>
    <row r="8">
      <c r="A8" s="3" t="inlineStr">
        <is>
          <t>A4</t>
        </is>
      </c>
      <c r="B8" s="3" t="inlineStr">
        <is>
          <t>Sleepbootkoppelpunt</t>
        </is>
      </c>
      <c r="C8" s="3" t="n">
        <v>300714.4</v>
      </c>
      <c r="D8" s="3" t="n">
        <v>7649104.35</v>
      </c>
      <c r="E8" s="3" t="n">
        <v>-21.2488135</v>
      </c>
      <c r="F8" s="3" t="n">
        <v>-40.9204543</v>
      </c>
      <c r="G8" s="3" t="n">
        <v>1148.3</v>
      </c>
      <c r="H8" s="3" t="n">
        <v>424.8</v>
      </c>
    </row>
    <row r="9">
      <c r="A9" s="3" t="inlineStr">
        <is>
          <t>A5</t>
        </is>
      </c>
      <c r="B9" s="3" t="inlineStr">
        <is>
          <t>Eindpunt geul (natuurlijk -18,2 m)</t>
        </is>
      </c>
      <c r="C9" s="3" t="n">
        <v>312554.73</v>
      </c>
      <c r="D9" s="3" t="n">
        <v>7635252.11</v>
      </c>
      <c r="E9" s="3" t="n">
        <v>-21.3751711</v>
      </c>
      <c r="F9" s="3" t="n">
        <v>-40.8079279</v>
      </c>
      <c r="G9" s="3" t="n">
        <v>2070.5</v>
      </c>
      <c r="H9" s="3" t="n">
        <v>1989.1</v>
      </c>
    </row>
    <row r="10">
      <c r="A10" s="3" t="inlineStr">
        <is>
          <t>A6</t>
        </is>
      </c>
      <c r="B10" s="3" t="inlineStr">
        <is>
          <t>Wortel noordelijke golfbreker</t>
        </is>
      </c>
      <c r="C10" s="3" t="n">
        <v>297202.27</v>
      </c>
      <c r="D10" s="3" t="n">
        <v>7650918.75</v>
      </c>
      <c r="E10" s="3" t="n">
        <v>-21.2320404</v>
      </c>
      <c r="F10" s="3" t="n">
        <v>-40.9540689</v>
      </c>
      <c r="G10" s="3" t="n">
        <v>835</v>
      </c>
      <c r="H10" s="3" t="n">
        <v>186</v>
      </c>
    </row>
    <row r="11">
      <c r="A11" s="3" t="inlineStr">
        <is>
          <t>A7</t>
        </is>
      </c>
      <c r="B11" s="3" t="inlineStr">
        <is>
          <t>Wortel zuidelijke golfbreker</t>
        </is>
      </c>
      <c r="C11" s="3" t="n">
        <v>296285.1</v>
      </c>
      <c r="D11" s="3" t="n">
        <v>7647740.85</v>
      </c>
      <c r="E11" s="3" t="n">
        <v>-21.2606345</v>
      </c>
      <c r="F11" s="3" t="n">
        <v>-40.9632826</v>
      </c>
      <c r="G11" s="3" t="n">
        <v>690</v>
      </c>
      <c r="H11" s="3" t="n">
        <v>482</v>
      </c>
    </row>
    <row r="12">
      <c r="A12" s="3" t="inlineStr">
        <is>
          <t>A8</t>
        </is>
      </c>
      <c r="B12" s="3" t="inlineStr">
        <is>
          <t>Containerkade noordeinde</t>
        </is>
      </c>
      <c r="C12" s="3" t="n">
        <v>295982.49</v>
      </c>
      <c r="D12" s="3" t="n">
        <v>7649572.61</v>
      </c>
      <c r="E12" s="3" t="n">
        <v>-21.2440597</v>
      </c>
      <c r="F12" s="3" t="n">
        <v>-40.9659781</v>
      </c>
      <c r="G12" s="3" t="n">
        <v>692</v>
      </c>
      <c r="H12" s="3" t="n">
        <v>297</v>
      </c>
    </row>
    <row r="13">
      <c r="A13" s="3" t="inlineStr">
        <is>
          <t>A9</t>
        </is>
      </c>
      <c r="B13" s="3" t="inlineStr">
        <is>
          <t>Containerkade zuideinde</t>
        </is>
      </c>
      <c r="C13" s="3" t="n">
        <v>295525.07</v>
      </c>
      <c r="D13" s="3" t="n">
        <v>7648034.81</v>
      </c>
      <c r="E13" s="3" t="n">
        <v>-21.2578946</v>
      </c>
      <c r="F13" s="3" t="n">
        <v>-40.9705687</v>
      </c>
      <c r="G13" s="3" t="n">
        <v>620.5</v>
      </c>
      <c r="H13" s="3" t="n">
        <v>440</v>
      </c>
    </row>
    <row r="14">
      <c r="A14" s="3" t="inlineStr">
        <is>
          <t>A10</t>
        </is>
      </c>
      <c r="B14" s="3" t="inlineStr">
        <is>
          <t>LNG-steigerkop</t>
        </is>
      </c>
      <c r="C14" s="3" t="n">
        <v>297337.53</v>
      </c>
      <c r="D14" s="3" t="n">
        <v>7648101.61</v>
      </c>
      <c r="E14" s="3" t="n">
        <v>-21.2574946</v>
      </c>
      <c r="F14" s="3" t="n">
        <v>-40.9531014</v>
      </c>
      <c r="G14" s="3" t="n">
        <v>799.5</v>
      </c>
      <c r="H14" s="3" t="n">
        <v>464.8</v>
      </c>
    </row>
    <row r="15">
      <c r="A15" s="3" t="inlineStr">
        <is>
          <t>A11</t>
        </is>
      </c>
      <c r="B15" s="3" t="inlineStr">
        <is>
          <t>Graankade midden</t>
        </is>
      </c>
      <c r="C15" s="3" t="n">
        <v>296296.46</v>
      </c>
      <c r="D15" s="3" t="n">
        <v>7650045.75</v>
      </c>
      <c r="E15" s="3" t="n">
        <v>-21.2398224</v>
      </c>
      <c r="F15" s="3" t="n">
        <v>-40.9628973</v>
      </c>
      <c r="G15" s="3" t="n">
        <v>731</v>
      </c>
      <c r="H15" s="3" t="n">
        <v>256</v>
      </c>
    </row>
    <row r="16">
      <c r="A16" s="3" t="inlineStr">
        <is>
          <t>A12</t>
        </is>
      </c>
      <c r="B16" s="3" t="inlineStr">
        <is>
          <t>RoRo-kade midden</t>
        </is>
      </c>
      <c r="C16" s="3" t="n">
        <v>295137.77</v>
      </c>
      <c r="D16" s="3" t="n">
        <v>7648747.57</v>
      </c>
      <c r="E16" s="3" t="n">
        <v>-21.2514147</v>
      </c>
      <c r="F16" s="3" t="n">
        <v>-40.9742137</v>
      </c>
      <c r="G16" s="3" t="n">
        <v>594.8</v>
      </c>
      <c r="H16" s="3" t="n">
        <v>363.4</v>
      </c>
    </row>
    <row r="17">
      <c r="A17" s="3" t="inlineStr">
        <is>
          <t>A13</t>
        </is>
      </c>
      <c r="B17" s="3" t="inlineStr">
        <is>
          <t>Middelpunt zwaaiplaats binnenhaven</t>
        </is>
      </c>
      <c r="C17" s="3" t="n">
        <v>295561.07</v>
      </c>
      <c r="D17" s="3" t="n">
        <v>7649824.37</v>
      </c>
      <c r="E17" s="3" t="n">
        <v>-21.2417388</v>
      </c>
      <c r="F17" s="3" t="n">
        <v>-40.970007</v>
      </c>
      <c r="G17" s="3" t="n">
        <v>655</v>
      </c>
      <c r="H17" s="3" t="n">
        <v>265</v>
      </c>
    </row>
    <row r="18">
      <c r="A18" s="3" t="inlineStr">
        <is>
          <t>A14</t>
        </is>
      </c>
      <c r="B18" s="3" t="inlineStr">
        <is>
          <t>Begin bocht geul (R 3.400 m)</t>
        </is>
      </c>
      <c r="C18" s="3" t="n">
        <v>301701.9</v>
      </c>
      <c r="D18" s="3" t="n">
        <v>7648946.72</v>
      </c>
      <c r="E18" s="3" t="n">
        <v>-21.250345</v>
      </c>
      <c r="F18" s="3" t="n">
        <v>-40.9109605</v>
      </c>
      <c r="G18" s="3" t="n">
        <v>1242.5</v>
      </c>
      <c r="H18" s="3" t="n">
        <v>457.4</v>
      </c>
    </row>
    <row r="20">
      <c r="A20" t="inlineStr">
        <is>
          <t>DO overgetrokken van de Porto Central-render: schaal 10.035 m/px, draaiing 10.0 gr, render (812,5; 275) = A1.</t>
        </is>
      </c>
    </row>
    <row r="21">
      <c r="A21" t="inlineStr">
        <is>
          <t>E = 9.882546 x + 1.742559 y + 288626.228;  N = 1.742559 x + -9.882546 y + 7651301.871  (x, y = renderpixel, y omlaag).</t>
        </is>
      </c>
    </row>
    <row r="22">
      <c r="A22" t="inlineStr">
        <is>
          <t>Lat/lon via pyproj (EPSG:31984 -&gt; EPSG:4326).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7" customWidth="1" min="1" max="1"/>
    <col width="34" customWidth="1" min="2" max="2"/>
    <col width="14" customWidth="1" min="3" max="3"/>
    <col width="14" customWidth="1" min="4" max="4"/>
    <col width="13" customWidth="1" min="5" max="5"/>
    <col width="13" customWidth="1" min="6" max="6"/>
  </cols>
  <sheetData>
    <row r="1">
      <c r="A1" s="1" t="inlineStr">
        <is>
          <t>Ontwerpankerpunten SO (ter vergelijking)</t>
        </is>
      </c>
    </row>
    <row r="2">
      <c r="A2" t="inlineStr">
        <is>
          <t>Havenontwerp Groep 1 | DO versie 2.0 | 22-10-2026 | SIRGAS 2000 / UTM 24S (EPSG:31984), meter</t>
        </is>
      </c>
    </row>
    <row r="4">
      <c r="A4" s="2" t="inlineStr">
        <is>
          <t>Punt</t>
        </is>
      </c>
      <c r="B4" s="2" t="inlineStr">
        <is>
          <t>Omschrijving</t>
        </is>
      </c>
      <c r="C4" s="2" t="inlineStr">
        <is>
          <t>E (m)</t>
        </is>
      </c>
      <c r="D4" s="2" t="inlineStr">
        <is>
          <t>N (m)</t>
        </is>
      </c>
      <c r="E4" s="2" t="inlineStr">
        <is>
          <t>Lat</t>
        </is>
      </c>
      <c r="F4" s="2" t="inlineStr">
        <is>
          <t>Lon</t>
        </is>
      </c>
    </row>
    <row r="5">
      <c r="A5" s="3" t="inlineStr">
        <is>
          <t>A1</t>
        </is>
      </c>
      <c r="B5" s="3" t="inlineStr">
        <is>
          <t>Referentiepunt kust (render 812,5 / 275)</t>
        </is>
      </c>
      <c r="C5" s="3" t="n">
        <v>297135</v>
      </c>
      <c r="D5" s="3" t="n">
        <v>7650000</v>
      </c>
      <c r="E5" s="3" t="n">
        <v>-21.2403293</v>
      </c>
      <c r="F5" s="3" t="n">
        <v>-40.9548262</v>
      </c>
    </row>
    <row r="6">
      <c r="A6" s="3" t="inlineStr">
        <is>
          <t>A2</t>
        </is>
      </c>
      <c r="B6" s="3" t="inlineStr">
        <is>
          <t>Middelpunt vrije draaikom</t>
        </is>
      </c>
      <c r="C6" s="3" t="n">
        <v>297224.18</v>
      </c>
      <c r="D6" s="3" t="n">
        <v>7649638.7</v>
      </c>
      <c r="E6" s="3" t="n">
        <v>-21.2436019</v>
      </c>
      <c r="F6" s="3" t="n">
        <v>-40.9540102</v>
      </c>
    </row>
    <row r="7">
      <c r="A7" s="3" t="inlineStr">
        <is>
          <t>A3</t>
        </is>
      </c>
      <c r="B7" s="3" t="inlineStr">
        <is>
          <t>Midden havenmond</t>
        </is>
      </c>
      <c r="C7" s="3" t="n">
        <v>299054.7</v>
      </c>
      <c r="D7" s="3" t="n">
        <v>7649370.46</v>
      </c>
      <c r="E7" s="3" t="n">
        <v>-21.2462275</v>
      </c>
      <c r="F7" s="3" t="n">
        <v>-40.9364101</v>
      </c>
    </row>
    <row r="8">
      <c r="A8" s="3" t="inlineStr">
        <is>
          <t>A4</t>
        </is>
      </c>
      <c r="B8" s="3" t="inlineStr">
        <is>
          <t>Geulknik</t>
        </is>
      </c>
      <c r="C8" s="3" t="n">
        <v>301231.45</v>
      </c>
      <c r="D8" s="3" t="n">
        <v>7649051.49</v>
      </c>
      <c r="E8" s="3" t="n">
        <v>-21.2493475</v>
      </c>
      <c r="F8" s="3" t="n">
        <v>-40.91548</v>
      </c>
    </row>
    <row r="9">
      <c r="A9" s="3" t="inlineStr">
        <is>
          <t>A5</t>
        </is>
      </c>
      <c r="B9" s="3" t="inlineStr">
        <is>
          <t>Eindpunt geul (voorlopig)</t>
        </is>
      </c>
      <c r="C9" s="3" t="n">
        <v>334306.51</v>
      </c>
      <c r="D9" s="3" t="n">
        <v>7652915.45</v>
      </c>
      <c r="E9" s="3" t="n">
        <v>-21.2177682</v>
      </c>
      <c r="F9" s="3" t="n">
        <v>-40.5964717</v>
      </c>
    </row>
    <row r="10">
      <c r="A10" s="3" t="inlineStr">
        <is>
          <t>A6</t>
        </is>
      </c>
      <c r="B10" s="3" t="inlineStr">
        <is>
          <t>Wortel noordelijke golfbreker</t>
        </is>
      </c>
      <c r="C10" s="3" t="n">
        <v>297202.27</v>
      </c>
      <c r="D10" s="3" t="n">
        <v>7650918.75</v>
      </c>
      <c r="E10" s="3" t="n">
        <v>-21.2320404</v>
      </c>
      <c r="F10" s="3" t="n">
        <v>-40.9540689</v>
      </c>
    </row>
    <row r="11">
      <c r="A11" s="3" t="inlineStr">
        <is>
          <t>A7</t>
        </is>
      </c>
      <c r="B11" s="3" t="inlineStr">
        <is>
          <t>Wortel zuidelijke golfbreker</t>
        </is>
      </c>
      <c r="C11" s="3" t="n">
        <v>296285.1</v>
      </c>
      <c r="D11" s="3" t="n">
        <v>7647740.85</v>
      </c>
      <c r="E11" s="3" t="n">
        <v>-21.2606345</v>
      </c>
      <c r="F11" s="3" t="n">
        <v>-40.9632826</v>
      </c>
    </row>
    <row r="12">
      <c r="A12" s="3" t="inlineStr">
        <is>
          <t>A8</t>
        </is>
      </c>
      <c r="B12" s="3" t="inlineStr">
        <is>
          <t>Containerkade noordeinde</t>
        </is>
      </c>
      <c r="C12" s="3" t="n">
        <v>295982.49</v>
      </c>
      <c r="D12" s="3" t="n">
        <v>7649572.61</v>
      </c>
      <c r="E12" s="3" t="n">
        <v>-21.2440597</v>
      </c>
      <c r="F12" s="3" t="n">
        <v>-40.9659781</v>
      </c>
    </row>
    <row r="13">
      <c r="A13" s="3" t="inlineStr">
        <is>
          <t>A9</t>
        </is>
      </c>
      <c r="B13" s="3" t="inlineStr">
        <is>
          <t>Containerkade zuideinde</t>
        </is>
      </c>
      <c r="C13" s="3" t="n">
        <v>295525.07</v>
      </c>
      <c r="D13" s="3" t="n">
        <v>7648034.81</v>
      </c>
      <c r="E13" s="3" t="n">
        <v>-21.2578946</v>
      </c>
      <c r="F13" s="3" t="n">
        <v>-40.9705687</v>
      </c>
    </row>
    <row r="14">
      <c r="A14" s="3" t="inlineStr">
        <is>
          <t>A10</t>
        </is>
      </c>
      <c r="B14" s="3" t="inlineStr">
        <is>
          <t>LNG-steigerkop</t>
        </is>
      </c>
      <c r="C14" s="3" t="n">
        <v>298268.67</v>
      </c>
      <c r="D14" s="3" t="n">
        <v>7648742.76</v>
      </c>
      <c r="E14" s="3" t="n">
        <v>-21.2518087</v>
      </c>
      <c r="F14" s="3" t="n">
        <v>-40.9440557</v>
      </c>
    </row>
    <row r="15">
      <c r="A15" s="3" t="inlineStr">
        <is>
          <t>A11</t>
        </is>
      </c>
      <c r="B15" s="3" t="inlineStr">
        <is>
          <t>Graankade midden</t>
        </is>
      </c>
      <c r="C15" s="3" t="n">
        <v>296296.46</v>
      </c>
      <c r="D15" s="3" t="n">
        <v>7650045.75</v>
      </c>
      <c r="E15" s="3" t="n">
        <v>-21.2398224</v>
      </c>
      <c r="F15" s="3" t="n">
        <v>-40.9628973</v>
      </c>
    </row>
    <row r="16">
      <c r="A16" s="3" t="inlineStr">
        <is>
          <t>A12</t>
        </is>
      </c>
      <c r="B16" s="3" t="inlineStr">
        <is>
          <t>RoRo-kade midden</t>
        </is>
      </c>
      <c r="C16" s="3" t="n">
        <v>296928.95</v>
      </c>
      <c r="D16" s="3" t="n">
        <v>7650157.27</v>
      </c>
      <c r="E16" s="3" t="n">
        <v>-21.2388861</v>
      </c>
      <c r="F16" s="3" t="n">
        <v>-40.9567921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Ondergrond en georeferentiecontrole</t>
        </is>
      </c>
    </row>
    <row r="2">
      <c r="A2" t="inlineStr">
        <is>
          <t>Havenontwerp Groep 1 | DO versie 2.0 | 22-10-2026 | SIRGAS 2000 / UTM 24S (EPSG:31984), meter</t>
        </is>
      </c>
    </row>
    <row r="4">
      <c r="A4" s="2" t="inlineStr">
        <is>
          <t>Onderdeel</t>
        </is>
      </c>
      <c r="B4" s="2" t="inlineStr">
        <is>
          <t>Waarde</t>
        </is>
      </c>
    </row>
    <row r="5">
      <c r="A5" s="3" t="inlineStr">
        <is>
          <t>Kaartbron</t>
        </is>
      </c>
      <c r="B5" s="3" t="inlineStr">
        <is>
          <t>Copernicus Sentinel-2 L2A (ESA), opname 03-07-2026, tegels 24KTB en 24KUB, AWS Open Data (sentinel-cogs), geraadpleegd 22-10-2026; bestand CAD/Ondergrond/S2_20260703_TCI_EPSG31984.jpg + .jgw + .prj</t>
        </is>
      </c>
    </row>
    <row r="6">
      <c r="A6" s="3" t="inlineStr">
        <is>
          <t>Bronresolutie</t>
        </is>
      </c>
      <c r="B6" s="3" t="inlineStr">
        <is>
          <t>10 m per pixel</t>
        </is>
      </c>
    </row>
    <row r="7">
      <c r="A7" s="3" t="inlineStr">
        <is>
          <t>Stelsel</t>
        </is>
      </c>
      <c r="B7" s="3" t="inlineStr">
        <is>
          <t>SIRGAS 2000 / UTM zone 24S, EPSG:31984; Sentinel-2 levert WGS84/UTM 24S (EPSG:32724), verschil &lt; 0,1 m</t>
        </is>
      </c>
    </row>
    <row r="8">
      <c r="A8" s="3" t="inlineStr">
        <is>
          <t>Hoogtedatum</t>
        </is>
      </c>
      <c r="B8" s="3" t="inlineStr">
        <is>
          <t>Diepten t.o.v. MLWS (voorlopig); koppeling MLWS - DHN nog vast te leggen</t>
        </is>
      </c>
    </row>
    <row r="9">
      <c r="A9" s="3" t="inlineStr">
        <is>
          <t>Kustlijn</t>
        </is>
      </c>
      <c r="B9" s="3" t="inlineStr">
        <is>
          <t>Waterlijn uit NDWI (B03/B08) van 03-07-2026; geen MLWS-lijn</t>
        </is>
      </c>
    </row>
    <row r="10">
      <c r="A10" s="3" t="inlineStr">
        <is>
          <t>Kustcontrole GSHHS</t>
        </is>
      </c>
      <c r="B10" s="3" t="inlineStr">
        <is>
          <t>Gemiddeld dE 13,8 m, sd 65,6 m over 15 profielen</t>
        </is>
      </c>
    </row>
    <row r="11">
      <c r="A11" s="3" t="inlineStr">
        <is>
          <t>Bekende afstand</t>
        </is>
      </c>
      <c r="B11" s="3" t="inlineStr">
        <is>
          <t>Bronpunten: geodetisch 13.582,42 m; grid 13.583,80 m; verschil 1,38 m (k = 1.000101)</t>
        </is>
      </c>
    </row>
    <row r="12">
      <c r="A12" s="3" t="inlineStr">
        <is>
          <t>Noordrichting</t>
        </is>
      </c>
      <c r="B12" s="3" t="inlineStr">
        <is>
          <t>Meridiaanconvergentie 0.703 gr; bladen zijn grid-noord</t>
        </is>
      </c>
    </row>
    <row r="13">
      <c r="A13" s="3" t="inlineStr">
        <is>
          <t>Bronpunt São Francisco de Itabapoana</t>
        </is>
      </c>
      <c r="B13" s="3" t="inlineStr">
        <is>
          <t>-21.309884, -40.957744 -&gt; E 296.927,63, N 7.642.294,86; 17,6 m tot waterlijn</t>
        </is>
      </c>
    </row>
    <row r="14">
      <c r="A14" s="3" t="inlineStr">
        <is>
          <t>Bronpunt Rio Marobá / Barra de Boa Vista</t>
        </is>
      </c>
      <c r="B14" s="3" t="inlineStr">
        <is>
          <t>-21.190796, -40.926339 -&gt; E 300.025,38, N 7.655.520,73; 13,9 m tot waterlijn</t>
        </is>
      </c>
    </row>
    <row r="16">
      <c r="A16" s="7" t="inlineStr">
        <is>
          <t>Herkenningspunten in Civil 3D (in te vullen na GEOMAPIMAGE / Map Aerial)</t>
        </is>
      </c>
    </row>
    <row r="17">
      <c r="A17" s="8" t="inlineStr">
        <is>
          <t>Punt</t>
        </is>
      </c>
      <c r="B17" s="8" t="inlineStr">
        <is>
          <t>Omschrijving</t>
        </is>
      </c>
      <c r="C17" s="8" t="inlineStr">
        <is>
          <t>E tekening</t>
        </is>
      </c>
      <c r="D17" s="8" t="inlineStr">
        <is>
          <t>N tekening</t>
        </is>
      </c>
      <c r="E17" s="8" t="inlineStr">
        <is>
          <t>E Map Aerial</t>
        </is>
      </c>
      <c r="F17" s="8" t="inlineStr">
        <is>
          <t>N Map Aerial</t>
        </is>
      </c>
      <c r="G17" s="8" t="inlineStr">
        <is>
          <t>dE (m)</t>
        </is>
      </c>
      <c r="H17" s="8" t="inlineStr">
        <is>
          <t>dN (m)</t>
        </is>
      </c>
      <c r="I17" s="8" t="inlineStr">
        <is>
          <t>afwijking (m)</t>
        </is>
      </c>
    </row>
    <row r="18">
      <c r="A18" t="inlineStr">
        <is>
          <t>H1</t>
        </is>
      </c>
      <c r="B18" t="inlineStr">
        <is>
          <t>Wegkruising landinwaarts (kies zelf)</t>
        </is>
      </c>
      <c r="C18" s="9" t="n"/>
      <c r="D18" s="9" t="n"/>
      <c r="E18" s="9" t="n"/>
      <c r="F18" s="9" t="n"/>
      <c r="G18">
        <f>IF(COUNT(C18,E18)=2,E18-C18,"")</f>
        <v/>
      </c>
      <c r="H18">
        <f>IF(COUNT(D18,F18)=2,F18-D18,"")</f>
        <v/>
      </c>
      <c r="I18">
        <f>IF(COUNT(G18,H18)=2,SQRT(G18^2+H18^2),"")</f>
        <v/>
      </c>
    </row>
    <row r="19">
      <c r="A19" t="inlineStr">
        <is>
          <t>H2</t>
        </is>
      </c>
      <c r="B19" t="inlineStr">
        <is>
          <t>Hoek bouwterrein fase 1 aan het strand</t>
        </is>
      </c>
      <c r="C19" s="9" t="n"/>
      <c r="D19" s="9" t="n"/>
      <c r="E19" s="9" t="n"/>
      <c r="F19" s="9" t="n"/>
      <c r="G19">
        <f>IF(COUNT(C19,E19)=2,E19-C19,"")</f>
        <v/>
      </c>
      <c r="H19">
        <f>IF(COUNT(D19,F19)=2,F19-D19,"")</f>
        <v/>
      </c>
      <c r="I19">
        <f>IF(COUNT(G19,H19)=2,SQRT(G19^2+H19^2),"")</f>
        <v/>
      </c>
    </row>
    <row r="20">
      <c r="A20" t="inlineStr">
        <is>
          <t>H3</t>
        </is>
      </c>
      <c r="B20" t="inlineStr">
        <is>
          <t>Kustbebouwing zuid, wegkruising</t>
        </is>
      </c>
      <c r="C20" s="9" t="n"/>
      <c r="D20" s="9" t="n"/>
      <c r="E20" s="9" t="n"/>
      <c r="F20" s="9" t="n"/>
      <c r="G20">
        <f>IF(COUNT(C20,E20)=2,E20-C20,"")</f>
        <v/>
      </c>
      <c r="H20">
        <f>IF(COUNT(D20,F20)=2,F20-D20,"")</f>
        <v/>
      </c>
      <c r="I20">
        <f>IF(COUNT(G20,H20)=2,SQRT(G20^2+H20^2),"")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0" customWidth="1" min="4" max="4"/>
  </cols>
  <sheetData>
    <row r="1">
      <c r="A1" s="1" t="inlineStr">
        <is>
          <t>Kustlijncontrole Sentinel-2 tegen GSHHS (full)</t>
        </is>
      </c>
    </row>
    <row r="2">
      <c r="A2" t="inlineStr">
        <is>
          <t>Havenontwerp Groep 1 | DO versie 2.0 | 22-10-2026 | SIRGAS 2000 / UTM 24S (EPSG:31984), meter</t>
        </is>
      </c>
    </row>
    <row r="4">
      <c r="A4" s="2" t="inlineStr">
        <is>
          <t>N (m)</t>
        </is>
      </c>
      <c r="B4" s="2" t="inlineStr">
        <is>
          <t>E waterlijn S2</t>
        </is>
      </c>
      <c r="C4" s="2" t="inlineStr">
        <is>
          <t>E kust GSHHS</t>
        </is>
      </c>
      <c r="D4" s="2" t="inlineStr">
        <is>
          <t>dE (m)</t>
        </is>
      </c>
    </row>
    <row r="5">
      <c r="A5" s="3" t="n">
        <v>7642000</v>
      </c>
      <c r="B5" s="3" t="n">
        <v>296762.5</v>
      </c>
      <c r="C5" s="3" t="n">
        <v>296820.6</v>
      </c>
      <c r="D5" s="3" t="n">
        <v>58.1</v>
      </c>
    </row>
    <row r="6">
      <c r="A6" s="3" t="n">
        <v>7643000</v>
      </c>
      <c r="B6" s="3" t="n">
        <v>296930</v>
      </c>
      <c r="C6" s="3" t="n">
        <v>296913.9</v>
      </c>
      <c r="D6" s="3" t="n">
        <v>-16.1</v>
      </c>
    </row>
    <row r="7">
      <c r="A7" s="3" t="n">
        <v>7644000</v>
      </c>
      <c r="B7" s="3" t="n">
        <v>296747.5</v>
      </c>
      <c r="C7" s="3" t="n">
        <v>296716</v>
      </c>
      <c r="D7" s="3" t="n">
        <v>-31.5</v>
      </c>
    </row>
    <row r="8">
      <c r="A8" s="3" t="n">
        <v>7645000</v>
      </c>
      <c r="B8" s="3" t="n">
        <v>296570</v>
      </c>
      <c r="C8" s="3" t="n">
        <v>296527.1</v>
      </c>
      <c r="D8" s="3" t="n">
        <v>-42.9</v>
      </c>
    </row>
    <row r="9">
      <c r="A9" s="3" t="n">
        <v>7646000</v>
      </c>
      <c r="B9" s="3" t="n">
        <v>296450</v>
      </c>
      <c r="C9" s="3" t="n">
        <v>296431</v>
      </c>
      <c r="D9" s="3" t="n">
        <v>-19</v>
      </c>
    </row>
    <row r="10">
      <c r="A10" s="3" t="n">
        <v>7647000</v>
      </c>
      <c r="B10" s="3" t="n">
        <v>296460</v>
      </c>
      <c r="C10" s="3" t="n">
        <v>296416.3</v>
      </c>
      <c r="D10" s="3" t="n">
        <v>-43.7</v>
      </c>
    </row>
    <row r="11">
      <c r="A11" s="3" t="n">
        <v>7648000</v>
      </c>
      <c r="B11" s="3" t="n">
        <v>296590</v>
      </c>
      <c r="C11" s="3" t="n">
        <v>296490.5</v>
      </c>
      <c r="D11" s="3" t="n">
        <v>-99.5</v>
      </c>
    </row>
    <row r="12">
      <c r="A12" s="3" t="n">
        <v>7649000</v>
      </c>
      <c r="B12" s="3" t="n">
        <v>296817.5</v>
      </c>
      <c r="C12" s="3" t="n">
        <v>296828.9</v>
      </c>
      <c r="D12" s="3" t="n">
        <v>11.4</v>
      </c>
    </row>
    <row r="13">
      <c r="A13" s="3" t="n">
        <v>7650000</v>
      </c>
      <c r="B13" s="3" t="n">
        <v>297135.7</v>
      </c>
      <c r="C13" s="3" t="n">
        <v>297126</v>
      </c>
      <c r="D13" s="3" t="n">
        <v>-9.699999999999999</v>
      </c>
    </row>
    <row r="14">
      <c r="A14" s="3" t="n">
        <v>7651000</v>
      </c>
      <c r="B14" s="3" t="n">
        <v>297562.5</v>
      </c>
      <c r="C14" s="3" t="n">
        <v>297579</v>
      </c>
      <c r="D14" s="3" t="n">
        <v>16.5</v>
      </c>
    </row>
    <row r="15">
      <c r="A15" s="3" t="n">
        <v>7652000</v>
      </c>
      <c r="B15" s="3" t="n">
        <v>298106.4</v>
      </c>
      <c r="C15" s="3" t="n">
        <v>298168.3</v>
      </c>
      <c r="D15" s="3" t="n">
        <v>61.9</v>
      </c>
    </row>
    <row r="16">
      <c r="A16" s="3" t="n">
        <v>7653000</v>
      </c>
      <c r="B16" s="3" t="n">
        <v>298712.5</v>
      </c>
      <c r="C16" s="3" t="n">
        <v>298678.4</v>
      </c>
      <c r="D16" s="3" t="n">
        <v>-34.1</v>
      </c>
    </row>
    <row r="17">
      <c r="A17" s="3" t="n">
        <v>7654000</v>
      </c>
      <c r="B17" s="3" t="n">
        <v>299147.5</v>
      </c>
      <c r="C17" s="3" t="n">
        <v>299245.6</v>
      </c>
      <c r="D17" s="3" t="n">
        <v>98.09999999999999</v>
      </c>
    </row>
    <row r="18">
      <c r="A18" s="3" t="n">
        <v>7655000</v>
      </c>
      <c r="B18" s="3" t="n">
        <v>299668.8</v>
      </c>
      <c r="C18" s="3" t="n">
        <v>299814.5</v>
      </c>
      <c r="D18" s="3" t="n">
        <v>145.8</v>
      </c>
    </row>
    <row r="19">
      <c r="A19" s="3" t="n">
        <v>7656000</v>
      </c>
      <c r="B19" s="3" t="n">
        <v>300280</v>
      </c>
      <c r="C19" s="3" t="n">
        <v>300391.2</v>
      </c>
      <c r="D19" s="3" t="n">
        <v>111.2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5" customWidth="1" min="3" max="3"/>
    <col width="60" customWidth="1" min="4" max="4"/>
    <col width="14" customWidth="1" min="5" max="5"/>
    <col width="45" customWidth="1" min="6" max="6"/>
  </cols>
  <sheetData>
    <row r="1">
      <c r="A1" s="1" t="inlineStr">
        <is>
          <t>Besluitenlijst na bespreking schetsontwerp</t>
        </is>
      </c>
    </row>
    <row r="2">
      <c r="A2" t="inlineStr">
        <is>
          <t>Havenontwerp Groep 1 | DO versie 2.0 | 22-10-2026 | SIRGAS 2000 / UTM 24S (EPSG:31984), meter</t>
        </is>
      </c>
    </row>
    <row r="4">
      <c r="A4" s="2" t="inlineStr">
        <is>
          <t>Nr</t>
        </is>
      </c>
      <c r="B4" s="2" t="inlineStr">
        <is>
          <t>Onderwerp</t>
        </is>
      </c>
      <c r="C4" s="2" t="inlineStr">
        <is>
          <t>Schetsontwerp (SO)</t>
        </is>
      </c>
      <c r="D4" s="2" t="inlineStr">
        <is>
          <t>Besluit / definitief ontwerp (DO)</t>
        </is>
      </c>
      <c r="E4" s="2" t="inlineStr">
        <is>
          <t>Status</t>
        </is>
      </c>
      <c r="F4" s="2" t="inlineStr">
        <is>
          <t>Vervolgstap</t>
        </is>
      </c>
    </row>
    <row r="5">
      <c r="A5" s="3" t="inlineStr">
        <is>
          <t>B01</t>
        </is>
      </c>
      <c r="B5" s="3" t="inlineStr">
        <is>
          <t>Havenligging</t>
        </is>
      </c>
      <c r="C5" s="3" t="inlineStr">
        <is>
          <t>Zoekgebied locatie B; exacte plaats open.</t>
        </is>
      </c>
      <c r="D5" s="3" t="inlineStr">
        <is>
          <t>Locatie vastgesteld: Porto Central, Presidente Kennedy - Espírito Santo (29350-000). Havenas haaks op de kust (azimut 110 gr) door het bouwterrein fase 1; kustpunt A1 E 297.135,0 / N 7.650.000,0; bekkens landinwaarts op het Porto Central-terrein.</t>
        </is>
      </c>
      <c r="E5" s="3" t="inlineStr">
        <is>
          <t>Vastgelegd</t>
        </is>
      </c>
      <c r="F5" s="3" t="inlineStr">
        <is>
          <t>Ligging van de havenas op het terrein afstemmen met het bouwterrein fase 1 / masterplan.</t>
        </is>
      </c>
    </row>
    <row r="6">
      <c r="A6" s="3" t="inlineStr">
        <is>
          <t>B02</t>
        </is>
      </c>
      <c r="B6" s="3" t="inlineStr">
        <is>
          <t>Havenvorm en programma</t>
        </is>
      </c>
      <c r="C6" s="3" t="inlineStr">
        <is>
          <t>SO: grove schets op de Porto Central-render.</t>
        </is>
      </c>
      <c r="D6" s="3" t="inlineStr">
        <is>
          <t>DO: de vorm van de render blijft: gebogen dammen, ingang naar het OZO, hoofdbekken langs de noordkade, twee schuine vingers met insteekbekkens en het tankpark langs de zuidrand. Er staan alleen functies uit de opdracht in: containers (vinger 6), droge bulk/graan (noordkade), voertuigen/RoRo (vinger 7/8), LNG en de centrale (zuidrand). Erts, werf, industrie en olie zijn weggelaten; de overige ruimte op vinger 7/8 en de tweede insteek zijn uitbreidingsruimte voor de eigen ladingstromen na 2045.</t>
        </is>
      </c>
      <c r="E6" s="3" t="inlineStr">
        <is>
          <t>Vastgelegd</t>
        </is>
      </c>
      <c r="F6" s="3" t="inlineStr">
        <is>
          <t>Uitbreidingsruimte apart onderbouwen als de groei na 2045 aan de orde komt.</t>
        </is>
      </c>
    </row>
    <row r="7">
      <c r="A7" s="3" t="inlineStr">
        <is>
          <t>B03</t>
        </is>
      </c>
      <c r="B7" s="3" t="inlineStr">
        <is>
          <t>Havenmond</t>
        </is>
      </c>
      <c r="C7" s="3" t="inlineStr">
        <is>
          <t>SO: 350 m tussen damhartlijnen, vrij tussen de footprints maar 260 m.</t>
        </is>
      </c>
      <c r="D7" s="3" t="inlineStr">
        <is>
          <t>DO: dammen verlegd, 350 m vrij tussen de golfbrekerfootprints (90 m breed).</t>
        </is>
      </c>
      <c r="E7" s="3" t="inlineStr">
        <is>
          <t>Verwerkt</t>
        </is>
      </c>
      <c r="F7" s="3" t="inlineStr">
        <is>
          <t>Na golfbrekerontwerp (kruin, taluds) footprint en vrije breedte opnieuw meten.</t>
        </is>
      </c>
    </row>
    <row r="8">
      <c r="A8" s="3" t="inlineStr">
        <is>
          <t>B04</t>
        </is>
      </c>
      <c r="B8" s="3" t="inlineStr">
        <is>
          <t>Manoeuvreren met grote schepen</t>
        </is>
      </c>
      <c r="C8" s="3" t="inlineStr">
        <is>
          <t>SO: containerkade in het insteekbekken: een schip van 334 m moet 63 gr draaien vanuit een hoofdbekken van 371 m breed. Met een vuistregel voor de bochtstraal van minimaal 3 x LOA (ca. 1.000 m) past dat niet. Ook overlapt de draaikom de containervinger (1,5 ha) en is er binnen geen draairuimte voor graan- en RoRo-schepen.</t>
        </is>
      </c>
      <c r="D8" s="3" t="inlineStr">
        <is>
          <t>DO: containerkade aan de westzijde van vinger 6, in het insteekbekken. Golftoets (DO-09): aan de oostzijde (voorhaven) wordt Hs 2,08 m (grens 0,5 m), in de insteek 0,24 m. Containerschepen varen met sleepboten door de draaikom (D 720 m) het hoofdbekken in, zwaaien op de zwaaiplaats binnenhaven (D 670 m = 2 x LOA van het maatgevende containerschip; het hoofdbekken is daar verbreed, zodat de draai zonder krappe marges lukt) en worden achteruit de insteek in gesleept, zodat ze met de kop naar buiten afmeren. De zwaaiplaats ligt 115 m vrij van afgemeerde schepen en 156 m van de oever. Draaikom voorhaven 416 m vrij; stopweg 1.720 m = 5,1 LOA.</t>
        </is>
      </c>
      <c r="E8" s="3" t="inlineStr">
        <is>
          <t>Verwerkt</t>
        </is>
      </c>
      <c r="F8" s="3" t="inlineStr">
        <is>
          <t>Toetsen met bochtstralen uit PIANC WG121 en een nautische simulatie met sleepboten.</t>
        </is>
      </c>
    </row>
    <row r="9">
      <c r="A9" s="3" t="inlineStr">
        <is>
          <t>B05</t>
        </is>
      </c>
      <c r="B9" s="3" t="inlineStr">
        <is>
          <t>Toegangsgeul en sleepboten</t>
        </is>
      </c>
      <c r="C9" s="3" t="inlineStr">
        <is>
          <t>SO: geul knikt 15 gr op 2,2 km buiten de mond; geen sleepbootkoppelpunt.</t>
        </is>
      </c>
      <c r="D9" s="3" t="inlineStr">
        <is>
          <t>DO: geul 220 m, -18,20 m MLWS: 2,5 km recht in het verlengde van de havenmond (koppelpunt sleepboten op 1.500 m, A4), dan een bocht met straal 3.400 m (ca. 10 x LOA, verbreed tot 260 m, A14) naar 145 gr en recht tot de natuurlijke -18,2 m MLWS. Bodemmodel GEBCO 2026 + Copernicus DEM (DO-10): naar het ZO is het veel eerder diep. Lengte buiten de mond 20,2 km met 19,5 mln m3 (rechtdoor: 35,0 km, 33,5 mln m3). De haven 1 km verder in zee leggen bespaart ca. 3,3 mln m3 bagger maar kost ca. 0,54 mln m3 extra stortsteen in de dammen: ongeveer kostenneutraal, daarom niet gedaan. Zone 2/3 gesplitst op de -15 m-lijn.</t>
        </is>
      </c>
      <c r="E9" s="3" t="inlineStr">
        <is>
          <t>Deels open</t>
        </is>
      </c>
      <c r="F9" s="3" t="inlineStr">
        <is>
          <t>Multibeampeiling langs het tracé; MLWS-DHN koppelen; geul eventueel gefaseerd (eerst -15,5 m, getijvenster).</t>
        </is>
      </c>
    </row>
    <row r="10">
      <c r="A10" s="3" t="inlineStr">
        <is>
          <t>B06</t>
        </is>
      </c>
      <c r="B10" s="3" t="inlineStr">
        <is>
          <t>LNG-steiger en tanks</t>
        </is>
      </c>
      <c r="C10" s="3" t="inlineStr">
        <is>
          <t>SO: LNG-tanks direct achter het containerterrein, op 116 m.</t>
        </is>
      </c>
      <c r="D10" s="3" t="inlineStr">
        <is>
          <t>DO: LNG-steiger op de gunstigste plek achter de zuidelijke dam (golftoets met reflectie Hs 0,98 m &lt;= 1,0 m; bij de havenmond 1,98 m). Tanks in het zuidelijke deel van de LNG-zone, zodat de 250 m-zone ruim buiten het containerterrein blijft; cryogene leiding ca. 1,2 km. Veiligheidszone 250 m rond schip/steiger en rond de tanks, nautische controlezone 500 m (Hong Kong LNG-terminal; literatuur 250-750 m): geen andere schepen of gebouwen in de 250 m-zones; draaikom 739 m buiten de zone, containerterrein 227 m buiten de tankzone. Ligplaats en vaarweg -16,20 m MLWS.</t>
        </is>
      </c>
      <c r="E10" s="3" t="inlineStr">
        <is>
          <t>Verwerkt / QRA open</t>
        </is>
      </c>
      <c r="F10" s="3" t="inlineStr">
        <is>
          <t>QRA (plaatsgebonden en groepsrisico) en definitieve zones; N-1-voorraadbeleid kiezen.</t>
        </is>
      </c>
    </row>
    <row r="11">
      <c r="A11" s="3" t="inlineStr">
        <is>
          <t>B07</t>
        </is>
      </c>
      <c r="B11" s="3" t="inlineStr">
        <is>
          <t>Droge bulk (graan) en RoRo</t>
        </is>
      </c>
      <c r="C11" s="3" t="inlineStr">
        <is>
          <t>SO: gedeeld perceel van 104 ha aan de noordkade, weg kruist het terrein.</t>
        </is>
      </c>
      <c r="D11" s="3" t="inlineStr">
        <is>
          <t>DO: graan 30,4 ha aan de noordkade (render 10) met silo en transportband; de graan- en havendienstkade zijn open kades op palen boven een golfdempend talud (Cr 0,45 i.p.v. 0,9 voor een kademuur; Hs 0,96 m). RoRo 30,2 ha op vinger 7/8 met kade 400 m dieper in de insteek (Hs 0,17 m &lt;= 0,3 m); ieder een kade van 300 m en een eigen poort.</t>
        </is>
      </c>
      <c r="E11" s="3" t="inlineStr">
        <is>
          <t>Verwerkt</t>
        </is>
      </c>
      <c r="F11" s="3" t="inlineStr">
        <is>
          <t>Rijcircuit RoRo en conveyorroute graan detailleren.</t>
        </is>
      </c>
    </row>
    <row r="12">
      <c r="A12" s="3" t="inlineStr">
        <is>
          <t>B08</t>
        </is>
      </c>
      <c r="B12" s="3" t="inlineStr">
        <is>
          <t>Fasering</t>
        </is>
      </c>
      <c r="C12" s="3" t="inlineStr">
        <is>
          <t>SO: containerfase 1 aan het zuideinde; alle bekkens in fase 1 baggeren.</t>
        </is>
      </c>
      <c r="D12" s="3" t="inlineStr">
        <is>
          <t>DO: containers fase 1 aan de noordkop (C1-C2), de kade groeit zuidwaarts langs de westzijde van vinger 6; gebaggerd 128,8 / 151,0 / 174,1 ha; insteek zuid, hoofdbekken west en tweede insteek (122,1 ha) pas na 2045.</t>
        </is>
      </c>
      <c r="E12" s="3" t="inlineStr">
        <is>
          <t>Verwerkt</t>
        </is>
      </c>
      <c r="F12" s="3" t="inlineStr">
        <is>
          <t>Bouwmethode uitbreiding naast werkende kade uitwerken.</t>
        </is>
      </c>
    </row>
    <row r="13">
      <c r="A13" s="3" t="inlineStr">
        <is>
          <t>B09</t>
        </is>
      </c>
      <c r="B13" s="3" t="inlineStr">
        <is>
          <t>Centrale en utilities</t>
        </is>
      </c>
      <c r="C13" s="3" t="inlineStr">
        <is>
          <t>SO: centrale naast de LNG-zone.</t>
        </is>
      </c>
      <c r="D13" s="3" t="inlineStr">
        <is>
          <t>DO: reservering 43,5 ha naast de LNG-zone langs de zuidrand; gasleiding naar het regionale net; koelwater indicatief.</t>
        </is>
      </c>
      <c r="E13" s="3" t="inlineStr">
        <is>
          <t>Reservering</t>
        </is>
      </c>
      <c r="F13" s="3" t="inlineStr">
        <is>
          <t>Vermogen/proceskeuze vaststellen; recirculatie koelwater toetsen.</t>
        </is>
      </c>
    </row>
    <row r="14">
      <c r="A14" s="3" t="inlineStr">
        <is>
          <t>B10</t>
        </is>
      </c>
      <c r="B14" s="3" t="inlineStr">
        <is>
          <t>Achterland</t>
        </is>
      </c>
      <c r="C14" s="3" t="inlineStr">
        <is>
          <t>SO: weg door het graan/RoRo-perceel.</t>
        </is>
      </c>
      <c r="D14" s="3" t="inlineStr">
        <is>
          <t>DO: noordweg langs graan, RoRo en havendienst; zuidweg langs containerterrein, LNG en centrale; beide aangesloten op het regionale net aan de westzijde, met spoor.</t>
        </is>
      </c>
      <c r="E14" s="3" t="inlineStr">
        <is>
          <t>Verwerkt</t>
        </is>
      </c>
      <c r="F14" s="3" t="inlineStr">
        <is>
          <t>Tracé naar het regionale weg- en spoornet bepalen.</t>
        </is>
      </c>
    </row>
    <row r="15">
      <c r="A15" s="3" t="inlineStr">
        <is>
          <t>B11</t>
        </is>
      </c>
      <c r="B15" s="3" t="inlineStr">
        <is>
          <t>Ondergrond en georeferentie</t>
        </is>
      </c>
      <c r="C15" s="3" t="inlineStr">
        <is>
          <t>Kaartondergrond nodig met controle.</t>
        </is>
      </c>
      <c r="D15" s="3" t="inlineStr">
        <is>
          <t>Sentinel-2 L2A van 03-07-2026 (10 m); kust vs. GSHHS gemiddeld 14 m (sd 66 m); bronpunten liggen 14-18 m van de waterlijn.</t>
        </is>
      </c>
      <c r="E15" s="3" t="inlineStr">
        <is>
          <t>Gecontroleerd</t>
        </is>
      </c>
      <c r="F15" s="3" t="inlineStr">
        <is>
          <t>In Civil 3D drie herkenningspunten tegen Map Aerial meten en afwijking invullen.</t>
        </is>
      </c>
    </row>
    <row r="16">
      <c r="A16" s="3" t="inlineStr">
        <is>
          <t>B12</t>
        </is>
      </c>
      <c r="B16" s="3" t="inlineStr">
        <is>
          <t>Grondwerk</t>
        </is>
      </c>
      <c r="C16" s="3" t="inlineStr">
        <is>
          <t>Oppervlakken ontbraken.</t>
        </is>
      </c>
      <c r="D16" s="3" t="inlineStr">
        <is>
          <t>Celmethode (30 m) op het bodemmodel: zone 1 61,9, zone 2 18,3, zone 3 1,2 mln m3 (totaal 81,4 mln m3). Dieptezones per scheepstype (diepgang + 3,7 m): containers/graan -18,20, LNG -16,20, RoRo -13,70 m MLWS; besparing 0,86 mln m3. Ontwerpbodem per dieptezone als LandXML-oppervlak voor Civil 3D.</t>
        </is>
      </c>
      <c r="E16" s="3" t="inlineStr">
        <is>
          <t>Indicatief</t>
        </is>
      </c>
      <c r="F16" s="3" t="inlineStr">
        <is>
          <t>Na peiling herberekenen (Volumes Dashboard); grondsoorten uit boringen.</t>
        </is>
      </c>
    </row>
    <row r="17">
      <c r="A17" s="3" t="inlineStr">
        <is>
          <t>B13</t>
        </is>
      </c>
      <c r="B17" s="3" t="inlineStr">
        <is>
          <t>Variantafweging</t>
        </is>
      </c>
      <c r="C17" s="3" t="inlineStr">
        <is>
          <t>Scores ontbreken.</t>
        </is>
      </c>
      <c r="D17" s="3" t="inlineStr">
        <is>
          <t>Niet door de tekenaar ingevuld: de groep scoort de eigen schetsen met motivering.</t>
        </is>
      </c>
      <c r="E17" s="3" t="inlineStr">
        <is>
          <t>Open</t>
        </is>
      </c>
      <c r="F17" s="3" t="inlineStr">
        <is>
          <t>Tabblad Afweging invullen per groepslid-schets.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2026-10-22T13:47:33Z</dcterms:created>
  <dcterms:modified xmlns:dcterms="http://purl.org/dc/terms/" xmlns:xsi="http://www.w3.org/2001/XMLSchema-instance" xsi:type="dcterms:W3CDTF">2026-10-22T13:47:33Z</dcterms:modified>
</cp:coreProperties>
</file>