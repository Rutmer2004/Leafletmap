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10000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11700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87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140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1700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800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1200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1600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LNG-ligplaatsenvelop</t>
        </is>
      </c>
      <c r="B25" s="3" t="inlineStr">
        <is>
          <t>m</t>
        </is>
      </c>
      <c r="C25" s="4" t="n">
        <v>400</v>
      </c>
      <c r="D25" s="3" t="n">
        <v>400</v>
      </c>
      <c r="E25" s="3" t="inlineStr">
        <is>
          <t>tekenbrief</t>
        </is>
      </c>
      <c r="F25" s="3" t="inlineStr">
        <is>
          <t>dolphins indicatief</t>
        </is>
      </c>
    </row>
    <row r="26">
      <c r="A26" s="3" t="inlineStr">
        <is>
          <t>LNG-envelop tot draaikom</t>
        </is>
      </c>
      <c r="B26" s="3" t="inlineStr">
        <is>
          <t>m</t>
        </is>
      </c>
      <c r="C26" s="4" t="n">
        <v>939</v>
      </c>
      <c r="D26" s="3" t="inlineStr">
        <is>
          <t>&gt;0</t>
        </is>
      </c>
      <c r="E26" s="3" t="inlineStr"/>
      <c r="F26" s="3" t="inlineStr">
        <is>
          <t>vrij; QRA volgt</t>
        </is>
      </c>
    </row>
    <row r="27">
      <c r="A27" s="3" t="inlineStr">
        <is>
          <t>LNG-tanks tot containerterrein</t>
        </is>
      </c>
      <c r="B27" s="3" t="inlineStr">
        <is>
          <t>m</t>
        </is>
      </c>
      <c r="C27" s="4" t="n">
        <v>465</v>
      </c>
      <c r="D27" s="3" t="n"/>
      <c r="E27" s="3" t="inlineStr"/>
      <c r="F27" s="3" t="inlineStr">
        <is>
          <t>QRA volgt</t>
        </is>
      </c>
    </row>
    <row r="28">
      <c r="A28" s="3" t="inlineStr">
        <is>
          <t>LNG-zone (tanks + hervergassing)</t>
        </is>
      </c>
      <c r="B28" s="3" t="inlineStr">
        <is>
          <t>ha</t>
        </is>
      </c>
      <c r="C28" s="6" t="n">
        <v>30</v>
      </c>
      <c r="D28" s="3" t="n"/>
      <c r="E28" s="3" t="inlineStr">
        <is>
          <t>Invoer D51-D52</t>
        </is>
      </c>
      <c r="F28" s="3" t="inlineStr">
        <is>
          <t>3 tanks + optie 4e</t>
        </is>
      </c>
    </row>
    <row r="29">
      <c r="A29" s="3" t="inlineStr">
        <is>
          <t>Centrale + utilities (reservering)</t>
        </is>
      </c>
      <c r="B29" s="3" t="inlineStr">
        <is>
          <t>ha</t>
        </is>
      </c>
      <c r="C29" s="6" t="n">
        <v>52.5</v>
      </c>
      <c r="D29" s="3" t="n"/>
      <c r="E29" s="3" t="inlineStr">
        <is>
          <t>geen vast oppervlak</t>
        </is>
      </c>
      <c r="F29" s="3" t="inlineStr">
        <is>
          <t>reservering</t>
        </is>
      </c>
    </row>
    <row r="30">
      <c r="A30" s="3" t="inlineStr">
        <is>
          <t>Havendiensten / sleepboten</t>
        </is>
      </c>
      <c r="B30" s="3" t="inlineStr">
        <is>
          <t>ha</t>
        </is>
      </c>
      <c r="C30" s="6" t="n">
        <v>15.4</v>
      </c>
      <c r="D30" s="3" t="n"/>
      <c r="E30" s="3" t="inlineStr"/>
      <c r="F30" s="3" t="inlineStr">
        <is>
          <t>reservering</t>
        </is>
      </c>
    </row>
    <row r="31">
      <c r="A31" s="3" t="inlineStr">
        <is>
          <t>Reserveterreinen</t>
        </is>
      </c>
      <c r="B31" s="3" t="inlineStr">
        <is>
          <t>ha</t>
        </is>
      </c>
      <c r="C31" s="6" t="n">
        <v>237.8</v>
      </c>
      <c r="D31" s="3" t="n"/>
      <c r="E31" s="3" t="inlineStr"/>
      <c r="F31" s="3" t="inlineStr">
        <is>
          <t>reservering</t>
        </is>
      </c>
    </row>
    <row r="32">
      <c r="A32" s="3" t="inlineStr">
        <is>
          <t>Vrije breedte insteekbekken met RoRo-schip</t>
        </is>
      </c>
      <c r="B32" s="3" t="inlineStr">
        <is>
          <t>m</t>
        </is>
      </c>
      <c r="C32" s="4" t="n">
        <v>407</v>
      </c>
      <c r="D32" s="3" t="n">
        <v>220</v>
      </c>
      <c r="E32" s="3" t="inlineStr"/>
      <c r="F32" s="3" t="inlineStr">
        <is>
          <t>voldoet</t>
        </is>
      </c>
    </row>
    <row r="33">
      <c r="A33" s="3" t="inlineStr">
        <is>
          <t>Binnenbekken gebaggerd fase 1</t>
        </is>
      </c>
      <c r="B33" s="3" t="inlineStr">
        <is>
          <t>m2</t>
        </is>
      </c>
      <c r="C33" s="4" t="n">
        <v>1842500</v>
      </c>
      <c r="D33" s="3" t="n"/>
      <c r="E33" s="3" t="inlineStr"/>
      <c r="F33" s="3" t="inlineStr"/>
    </row>
    <row r="34">
      <c r="A34" s="3" t="inlineStr">
        <is>
          <t>Binnenbekken gebaggerd fase 2 (cumulatief)</t>
        </is>
      </c>
      <c r="B34" s="3" t="inlineStr">
        <is>
          <t>m2</t>
        </is>
      </c>
      <c r="C34" s="4" t="n">
        <v>2102500</v>
      </c>
      <c r="D34" s="3" t="n"/>
      <c r="E34" s="3" t="inlineStr"/>
      <c r="F34" s="3" t="inlineStr"/>
    </row>
    <row r="35">
      <c r="A35" s="3" t="inlineStr">
        <is>
          <t>Binnenbekken gebaggerd fase 3 (cumulatief)</t>
        </is>
      </c>
      <c r="B35" s="3" t="inlineStr">
        <is>
          <t>m2</t>
        </is>
      </c>
      <c r="C35" s="4" t="n">
        <v>2362500</v>
      </c>
      <c r="D35" s="3" t="n"/>
      <c r="E35" s="3" t="inlineStr"/>
      <c r="F35" s="3" t="inlineStr"/>
    </row>
    <row r="36">
      <c r="A36" s="3" t="inlineStr">
        <is>
          <t>Voorhaven + LNG-insteek gebaggerd</t>
        </is>
      </c>
      <c r="B36" s="3" t="inlineStr">
        <is>
          <t>m2</t>
        </is>
      </c>
      <c r="C36" s="4" t="n">
        <v>760465</v>
      </c>
      <c r="D36" s="3" t="n"/>
      <c r="E36" s="3" t="inlineStr"/>
      <c r="F36" s="3" t="inlineStr"/>
    </row>
    <row r="37">
      <c r="A37" s="3" t="inlineStr">
        <is>
          <t>Havenbekken totaal (zone 1)</t>
        </is>
      </c>
      <c r="B37" s="3" t="inlineStr">
        <is>
          <t>m2</t>
        </is>
      </c>
      <c r="C37" s="4" t="n">
        <v>3122965</v>
      </c>
      <c r="D37" s="3" t="n"/>
      <c r="E37" s="3" t="inlineStr">
        <is>
          <t>Grondwerk C6</t>
        </is>
      </c>
      <c r="F37" s="3" t="inlineStr">
        <is>
          <t>ingevuld</t>
        </is>
      </c>
    </row>
    <row r="38">
      <c r="A38" s="3" t="inlineStr">
        <is>
          <t>Geul buiten de mond (zone 2 + 3)</t>
        </is>
      </c>
      <c r="B38" s="3" t="inlineStr">
        <is>
          <t>m2</t>
        </is>
      </c>
      <c r="C38" s="4" t="n">
        <v>2200000</v>
      </c>
      <c r="D38" s="3" t="n"/>
      <c r="E38" s="3" t="inlineStr">
        <is>
          <t>Grondwerk C7 + C8</t>
        </is>
      </c>
      <c r="F38" s="3" t="inlineStr">
        <is>
          <t>splitsing open</t>
        </is>
      </c>
    </row>
    <row r="39">
      <c r="A39" s="3" t="inlineStr">
        <is>
          <t>Terreinophoging (terminals, LNG, centrale, havendienst)</t>
        </is>
      </c>
      <c r="B39" s="3" t="inlineStr">
        <is>
          <t>m2</t>
        </is>
      </c>
      <c r="C39" s="4" t="n">
        <v>3019000</v>
      </c>
      <c r="D39" s="3" t="n"/>
      <c r="E39" s="3" t="inlineStr">
        <is>
          <t>Grondwerk D21</t>
        </is>
      </c>
      <c r="F39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u lokaal (m)</t>
        </is>
      </c>
      <c r="H4" s="2" t="inlineStr">
        <is>
          <t>v lokaal (m)</t>
        </is>
      </c>
    </row>
    <row r="5">
      <c r="A5" s="3" t="inlineStr">
        <is>
          <t>A1</t>
        </is>
      </c>
      <c r="B5" s="3" t="inlineStr">
        <is>
          <t>Kustpunt havenas (waterlijn)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0</v>
      </c>
      <c r="H5" s="3" t="n">
        <v>0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297451.11</v>
      </c>
      <c r="D6" s="3" t="n">
        <v>7649991.36</v>
      </c>
      <c r="E6" s="3" t="n">
        <v>-21.2404426</v>
      </c>
      <c r="F6" s="3" t="n">
        <v>-40.9517825</v>
      </c>
      <c r="G6" s="3" t="n">
        <v>300</v>
      </c>
      <c r="H6" s="3" t="n">
        <v>100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298876.85</v>
      </c>
      <c r="D7" s="3" t="n">
        <v>7649065.48</v>
      </c>
      <c r="E7" s="3" t="n">
        <v>-21.2489619</v>
      </c>
      <c r="F7" s="3" t="n">
        <v>-40.9381592</v>
      </c>
      <c r="G7" s="3" t="n">
        <v>1956.4</v>
      </c>
      <c r="H7" s="3" t="n">
        <v>-282.4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300134.86</v>
      </c>
      <c r="D8" s="3" t="n">
        <v>7648248.52</v>
      </c>
      <c r="E8" s="3" t="n">
        <v>-21.2564782</v>
      </c>
      <c r="F8" s="3" t="n">
        <v>-40.9261374</v>
      </c>
      <c r="G8" s="3" t="n">
        <v>3418</v>
      </c>
      <c r="H8" s="3" t="n">
        <v>-619.8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307263.56</v>
      </c>
      <c r="D9" s="3" t="n">
        <v>7643619.09</v>
      </c>
      <c r="E9" s="3" t="n">
        <v>-21.2990555</v>
      </c>
      <c r="F9" s="3" t="n">
        <v>-40.8579896</v>
      </c>
      <c r="G9" s="3" t="n">
        <v>11700.1</v>
      </c>
      <c r="H9" s="3" t="n">
        <v>-2531.9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297737.85</v>
      </c>
      <c r="D10" s="3" t="n">
        <v>7651802.52</v>
      </c>
      <c r="E10" s="3" t="n">
        <v>-21.2241196</v>
      </c>
      <c r="F10" s="3" t="n">
        <v>-40.9488056</v>
      </c>
      <c r="G10" s="3" t="n">
        <v>-50</v>
      </c>
      <c r="H10" s="3" t="n">
        <v>1900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296314.32</v>
      </c>
      <c r="D11" s="3" t="n">
        <v>7648329.97</v>
      </c>
      <c r="E11" s="3" t="n">
        <v>-21.255318</v>
      </c>
      <c r="F11" s="3" t="n">
        <v>-40.9629306</v>
      </c>
      <c r="G11" s="3" t="n">
        <v>-200</v>
      </c>
      <c r="H11" s="3" t="n">
        <v>-1850</v>
      </c>
    </row>
    <row r="12">
      <c r="A12" s="3" t="inlineStr">
        <is>
          <t>A8</t>
        </is>
      </c>
      <c r="B12" s="3" t="inlineStr">
        <is>
          <t>Containerkade noordeinde (F1)</t>
        </is>
      </c>
      <c r="C12" s="3" t="n">
        <v>297135.17</v>
      </c>
      <c r="D12" s="3" t="n">
        <v>7650585.23</v>
      </c>
      <c r="E12" s="3" t="n">
        <v>-21.2350446</v>
      </c>
      <c r="F12" s="3" t="n">
        <v>-40.9547548</v>
      </c>
      <c r="G12" s="3" t="n">
        <v>-200</v>
      </c>
      <c r="H12" s="3" t="n">
        <v>550</v>
      </c>
    </row>
    <row r="13">
      <c r="A13" s="3" t="inlineStr">
        <is>
          <t>A9</t>
        </is>
      </c>
      <c r="B13" s="3" t="inlineStr">
        <is>
          <t>Containerkade zuideinde (F3)</t>
        </is>
      </c>
      <c r="C13" s="3" t="n">
        <v>296587.94</v>
      </c>
      <c r="D13" s="3" t="n">
        <v>7649081.73</v>
      </c>
      <c r="E13" s="3" t="n">
        <v>-21.2485603</v>
      </c>
      <c r="F13" s="3" t="n">
        <v>-40.960205</v>
      </c>
      <c r="G13" s="3" t="n">
        <v>-200</v>
      </c>
      <c r="H13" s="3" t="n">
        <v>-1050</v>
      </c>
    </row>
    <row r="14">
      <c r="A14" s="3" t="inlineStr">
        <is>
          <t>A10</t>
        </is>
      </c>
      <c r="B14" s="3" t="inlineStr">
        <is>
          <t>Midden LNG-ligplaats</t>
        </is>
      </c>
      <c r="C14" s="3" t="n">
        <v>297377.21</v>
      </c>
      <c r="D14" s="3" t="n">
        <v>7648560.34</v>
      </c>
      <c r="E14" s="3" t="n">
        <v>-21.2533567</v>
      </c>
      <c r="F14" s="3" t="n">
        <v>-40.9526645</v>
      </c>
      <c r="G14" s="3" t="n">
        <v>720</v>
      </c>
      <c r="H14" s="3" t="n">
        <v>-1270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296729.58</v>
      </c>
      <c r="D15" s="3" t="n">
        <v>7651371.36</v>
      </c>
      <c r="E15" s="3" t="n">
        <v>-21.2279005</v>
      </c>
      <c r="F15" s="3" t="n">
        <v>-40.9585675</v>
      </c>
      <c r="G15" s="3" t="n">
        <v>-850</v>
      </c>
      <c r="H15" s="3" t="n">
        <v>1150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295815.28</v>
      </c>
      <c r="D16" s="3" t="n">
        <v>7650906.01</v>
      </c>
      <c r="E16" s="3" t="n">
        <v>-21.2320002</v>
      </c>
      <c r="F16" s="3" t="n">
        <v>-40.9674288</v>
      </c>
      <c r="G16" s="3" t="n">
        <v>-1550</v>
      </c>
      <c r="H16" s="3" t="n">
        <v>400</v>
      </c>
    </row>
    <row r="18">
      <c r="A18" t="inlineStr">
        <is>
          <t>Lokaal havenstelsel: oorsprong A1; u-as azimut 110 gr (zeewaarts), v-as azimut 20 gr (langs de kust).</t>
        </is>
      </c>
    </row>
    <row r="19">
      <c r="A19" t="inlineStr">
        <is>
          <t>E = 297135.0 + u*sin(110 gr) + v*sin(20 gr);  N = 7650000.0 + u*cos(110 gr) + v*cos(20 gr).</t>
        </is>
      </c>
    </row>
    <row r="20">
      <c r="A20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Kustpunt havenas (waterlijn)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297263.17</v>
      </c>
      <c r="D6" s="3" t="n">
        <v>7650059.77</v>
      </c>
      <c r="E6" s="3" t="n">
        <v>-21.2398039</v>
      </c>
      <c r="F6" s="3" t="n">
        <v>-40.9535845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298646.98</v>
      </c>
      <c r="D7" s="3" t="n">
        <v>7649161.11</v>
      </c>
      <c r="E7" s="3" t="n">
        <v>-21.2480728</v>
      </c>
      <c r="F7" s="3" t="n">
        <v>-40.9403621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300492.05</v>
      </c>
      <c r="D8" s="3" t="n">
        <v>7647962.91</v>
      </c>
      <c r="E8" s="3" t="n">
        <v>-21.2590966</v>
      </c>
      <c r="F8" s="3" t="n">
        <v>-40.9227299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308100.51</v>
      </c>
      <c r="D9" s="3" t="n">
        <v>7645490.77</v>
      </c>
      <c r="E9" s="3" t="n">
        <v>-21.2822419</v>
      </c>
      <c r="F9" s="3" t="n">
        <v>-40.8497131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</t>
        </is>
      </c>
      <c r="C6" s="3" t="inlineStr">
        <is>
          <t>SO: eerste schets naar het Porto Central-masterplan.</t>
        </is>
      </c>
      <c r="D6" s="3" t="inlineStr">
        <is>
          <t>DO: vorm van het masterplan aangehouden: twee gebogen dammen met ingang naar het OZO (11/14), hoofdbekken langs de noordzijde met graan aan de noordkade (10), containervinger met kade aan de voorhaven (6), insteekbekken en tweede vinger (7/8), tank- en energiezone langs de zuidrand (9) en LNG-steiger bij de zuidelijke dam (18). Maten volgen het rekenboek, niet het masterplan.</t>
        </is>
      </c>
      <c r="E6" s="3" t="inlineStr">
        <is>
          <t>Vastgelegd</t>
        </is>
      </c>
      <c r="F6" s="3" t="inlineStr">
        <is>
          <t>Masterplan-functies buiten het groepsprogramma (erts, olie, werf) als reserve aangeduid.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Draaikom en stopweg</t>
        </is>
      </c>
      <c r="C8" s="3" t="inlineStr">
        <is>
          <t>SO: draaikom overlapt ligplaats C1 en de containerkade (2,0 ha); stopweg 1.650 m &lt; 5 LOA (1.670 m).</t>
        </is>
      </c>
      <c r="D8" s="3" t="inlineStr">
        <is>
          <t>DO: draaikom 200 m zeewaarts verschoven, mond verder uit de kust: stopweg 1.700 m = 5,1 LOA; draaikom 87 m vrij van afgemeerde schepen en 140 m van kades/dammen.</t>
        </is>
      </c>
      <c r="E8" s="3" t="inlineStr">
        <is>
          <t>Verwerkt</t>
        </is>
      </c>
      <c r="F8" s="3" t="inlineStr">
        <is>
          <t>Nautische (simulator)toets met sleepboten; containerschepen varen na het draaien achteruit of met sleepboten naar C2-C4.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Lengte buiten de mond voorlopig 10.000 m.</t>
        </is>
      </c>
      <c r="E9" s="3" t="inlineStr">
        <is>
          <t>Deels open</t>
        </is>
      </c>
      <c r="F9" s="3" t="inlineStr">
        <is>
          <t>Eindpunt op de -18,2 m MLWS-dieptelijn van de bathymetrie leggen; MLWS-DHN koppelen; geullengte terugzetten in Nautiek D31.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LNG-zone direct achter het containerterrein; tanks op 105 m.</t>
        </is>
      </c>
      <c r="D10" s="3" t="inlineStr">
        <is>
          <t>DO: tank- en energiezone verschoven naar de zuidrand (masterplan 9); tanks op 465 m van het containerterrein, weg-/spoorcorridor ertussen; LNG-ligplaats 939 m vrij van de draaikom; ruimte voor een 4e tank.</t>
        </is>
      </c>
      <c r="E10" s="3" t="inlineStr">
        <is>
          <t>Verwerkt / QRA open</t>
        </is>
      </c>
      <c r="F10" s="3" t="inlineStr">
        <is>
          <t>QRA en veiligheidsafstanden; N-1-voorraadbeleid kiezen (4e tank of kleiner buffer).</t>
        </is>
      </c>
    </row>
    <row r="11">
      <c r="A11" s="3" t="inlineStr">
        <is>
          <t>B07</t>
        </is>
      </c>
      <c r="B11" s="3" t="inlineStr">
        <is>
          <t>Graan en RoRo</t>
        </is>
      </c>
      <c r="C11" s="3" t="inlineStr">
        <is>
          <t>SO: gedeeld perceel van 66 ha aan de noordkade, weg kruist het terrein.</t>
        </is>
      </c>
      <c r="D11" s="3" t="inlineStr">
        <is>
          <t>DO: graan 30 ha aan de noordkade (masterplan 10) met silo en transportband; RoRo 30 ha op de tweede vinger aan het insteekbekken (masterplan 7/8), ieder een eigen kade van 300 m en eigen inrit.</t>
        </is>
      </c>
      <c r="E11" s="3" t="inlineStr">
        <is>
          <t>Verwerkt</t>
        </is>
      </c>
      <c r="F11" s="3" t="inlineStr">
        <is>
          <t>Ramp- en 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 van de vinger; alle bekkens in fase 1 baggeren.</t>
        </is>
      </c>
      <c r="D12" s="3" t="inlineStr">
        <is>
          <t>DO: fase 1 bij de ingang (C1-C2), kade groeit zuidwaarts; bekkens gebaggerd 184,2 / 210,2 / 236,2 ha; reserve-insteek en hoofdbekken-west (96,8 ha) pas in fase 4.</t>
        </is>
      </c>
      <c r="E12" s="3" t="inlineStr">
        <is>
          <t>Verwerkt</t>
        </is>
      </c>
      <c r="F12" s="3" t="inlineStr">
        <is>
          <t>Bouwmethode uitbreiding naast werkende kade (damwand/kistdam)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LNG-zone, tegen het containerterrein.</t>
        </is>
      </c>
      <c r="D13" s="3" t="inlineStr">
        <is>
          <t>DO: reservering 52,5 ha in de zuidelijke energiezone; gasleiding naar het regionale net; koelwaterinlaat in de voorhaven, uitlaat buiten de zuidelijke dam (indicatief).</t>
        </is>
      </c>
      <c r="E13" s="3" t="inlineStr">
        <is>
          <t>Reservering</t>
        </is>
      </c>
      <c r="F13" s="3" t="inlineStr">
        <is>
          <t>Vermogen/proceskeuze vaststellen; recirculatie en temperatuur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corridor aan de westzijde, weg door het graan/RoRo-perceel.</t>
        </is>
      </c>
      <c r="D14" s="3" t="inlineStr">
        <is>
          <t>DO: hoofdweg + spoor aan de westzijde (zoals de ringweg in het masterplan), takken achter de percelen: noord (graan), midden (RoRo), zuid (containers, LNG, centrale); aparte poorten.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3.122.965 m2, geul buiten de mond 2.200.000 m2, terreinophoging 3.019.000 m2 ingevuld; ontwerpbodem als LandXML-oppervlak voor Civil 3D.</t>
        </is>
      </c>
      <c r="E16" s="3" t="inlineStr">
        <is>
          <t>Deels open</t>
        </is>
      </c>
      <c r="F16" s="3" t="inlineStr">
        <is>
          <t>Bathymetrie als Civil 3D-oppervlak inlezen en volume tegen Ontwerpbodem_DO berekenen;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2026-10-22T10:34:10Z</dcterms:created>
  <dcterms:modified xmlns:dcterms="http://purl.org/dc/terms/" xmlns:xsi="http://www.w3.org/2001/XMLSchema-instance" xsi:type="dcterms:W3CDTF">2026-10-22T10:34:10Z</dcterms:modified>
</cp:coreProperties>
</file>