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atstaat DO" sheetId="1" state="visible" r:id="rId1"/>
    <sheet xmlns:r="http://schemas.openxmlformats.org/officeDocument/2006/relationships" name="Ankerpunten" sheetId="2" state="visible" r:id="rId2"/>
    <sheet xmlns:r="http://schemas.openxmlformats.org/officeDocument/2006/relationships" name="Ankerpunten SO" sheetId="3" state="visible" r:id="rId3"/>
    <sheet xmlns:r="http://schemas.openxmlformats.org/officeDocument/2006/relationships" name="Georeferentie" sheetId="4" state="visible" r:id="rId4"/>
    <sheet xmlns:r="http://schemas.openxmlformats.org/officeDocument/2006/relationships" name="Kustcontrole" sheetId="5" state="visible" r:id="rId5"/>
    <sheet xmlns:r="http://schemas.openxmlformats.org/officeDocument/2006/relationships" name="Besluitenlijst SO-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FFF3B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9" customWidth="1" min="2" max="2"/>
    <col width="14" customWidth="1" min="3" max="3"/>
    <col width="14" customWidth="1" min="4" max="4"/>
    <col width="26" customWidth="1" min="5" max="5"/>
    <col width="22" customWidth="1" min="6" max="6"/>
  </cols>
  <sheetData>
    <row r="1">
      <c r="A1" s="1" t="inlineStr">
        <is>
          <t>Maatstaat definitief ontwerp - gemeten in de tekening</t>
        </is>
      </c>
    </row>
    <row r="2">
      <c r="A2" t="inlineStr">
        <is>
          <t>Havenontwerp Groep 1 | DO versie 2.0 | 22-10-2026 | SIRGAS 2000 / UTM 24S (EPSG:31984), meter</t>
        </is>
      </c>
    </row>
    <row r="4">
      <c r="A4" s="2" t="inlineStr">
        <is>
          <t>Onderdeel</t>
        </is>
      </c>
      <c r="B4" s="2" t="inlineStr">
        <is>
          <t>Eenheid</t>
        </is>
      </c>
      <c r="C4" s="2" t="inlineStr">
        <is>
          <t>Gemeten DO</t>
        </is>
      </c>
      <c r="D4" s="2" t="inlineStr">
        <is>
          <t>Rekenboek/eis</t>
        </is>
      </c>
      <c r="E4" s="2" t="inlineStr">
        <is>
          <t>Cel / bron</t>
        </is>
      </c>
      <c r="F4" s="2" t="inlineStr">
        <is>
          <t>Status</t>
        </is>
      </c>
    </row>
    <row r="5">
      <c r="A5" s="3" t="inlineStr">
        <is>
          <t>Hoofdgeul bodembreedte</t>
        </is>
      </c>
      <c r="B5" s="3" t="inlineStr">
        <is>
          <t>m</t>
        </is>
      </c>
      <c r="C5" s="4" t="n">
        <v>220</v>
      </c>
      <c r="D5" s="3" t="n">
        <v>220</v>
      </c>
      <c r="E5" s="3" t="inlineStr">
        <is>
          <t>Nautiek D20</t>
        </is>
      </c>
      <c r="F5" s="3" t="inlineStr">
        <is>
          <t>rekenuitkomst</t>
        </is>
      </c>
    </row>
    <row r="6">
      <c r="A6" s="3" t="inlineStr">
        <is>
          <t>Bodemhoogte geul en bekkens</t>
        </is>
      </c>
      <c r="B6" s="3" t="inlineStr">
        <is>
          <t>m MLWS</t>
        </is>
      </c>
      <c r="C6" s="5" t="n">
        <v>-18.2</v>
      </c>
      <c r="D6" s="3" t="n">
        <v>-18.2</v>
      </c>
      <c r="E6" s="3" t="inlineStr">
        <is>
          <t>Nautiek D25</t>
        </is>
      </c>
      <c r="F6" s="3" t="inlineStr">
        <is>
          <t>voorlopig</t>
        </is>
      </c>
    </row>
    <row r="7">
      <c r="A7" s="3" t="inlineStr">
        <is>
          <t>Geullengte buiten havenmond</t>
        </is>
      </c>
      <c r="B7" s="3" t="inlineStr">
        <is>
          <t>m</t>
        </is>
      </c>
      <c r="C7" s="4" t="n">
        <v>18000</v>
      </c>
      <c r="D7" s="3" t="n"/>
      <c r="E7" s="3" t="inlineStr">
        <is>
          <t>Nautiek D31</t>
        </is>
      </c>
      <c r="F7" s="3" t="inlineStr">
        <is>
          <t>VOORLOPIG</t>
        </is>
      </c>
    </row>
    <row r="8">
      <c r="A8" s="3" t="inlineStr">
        <is>
          <t>Vaarafstand geuleinde - draaikom</t>
        </is>
      </c>
      <c r="B8" s="3" t="inlineStr">
        <is>
          <t>m</t>
        </is>
      </c>
      <c r="C8" s="4" t="n">
        <v>19720</v>
      </c>
      <c r="D8" s="3" t="n"/>
      <c r="E8" s="3" t="inlineStr">
        <is>
          <t>Nautiek D31</t>
        </is>
      </c>
      <c r="F8" s="3" t="inlineStr">
        <is>
          <t>VOORLOPIG</t>
        </is>
      </c>
    </row>
    <row r="9">
      <c r="A9" s="3" t="inlineStr">
        <is>
          <t>Vrije draaikom diameter</t>
        </is>
      </c>
      <c r="B9" s="3" t="inlineStr">
        <is>
          <t>m</t>
        </is>
      </c>
      <c r="C9" s="4" t="n">
        <v>720</v>
      </c>
      <c r="D9" s="3" t="n">
        <v>720</v>
      </c>
      <c r="E9" s="3" t="inlineStr">
        <is>
          <t>Nautiek D28</t>
        </is>
      </c>
      <c r="F9" s="3" t="inlineStr">
        <is>
          <t>vrij getoetst</t>
        </is>
      </c>
    </row>
    <row r="10">
      <c r="A10" s="3" t="inlineStr">
        <is>
          <t>Draaikom tot afgemeerde schepen</t>
        </is>
      </c>
      <c r="B10" s="3" t="inlineStr">
        <is>
          <t>m</t>
        </is>
      </c>
      <c r="C10" s="4" t="n">
        <v>170</v>
      </c>
      <c r="D10" s="3" t="inlineStr">
        <is>
          <t>&gt;0</t>
        </is>
      </c>
      <c r="E10" s="3" t="inlineStr"/>
      <c r="F10" s="3" t="inlineStr">
        <is>
          <t>voldoet</t>
        </is>
      </c>
    </row>
    <row r="11">
      <c r="A11" s="3" t="inlineStr">
        <is>
          <t>Draaikom tot kades/dammen</t>
        </is>
      </c>
      <c r="B11" s="3" t="inlineStr">
        <is>
          <t>m</t>
        </is>
      </c>
      <c r="C11" s="4" t="n">
        <v>220</v>
      </c>
      <c r="D11" s="3" t="inlineStr">
        <is>
          <t>&gt;0</t>
        </is>
      </c>
      <c r="E11" s="3" t="inlineStr"/>
      <c r="F11" s="3" t="inlineStr">
        <is>
          <t>voldoet</t>
        </is>
      </c>
    </row>
    <row r="12">
      <c r="A12" s="3" t="inlineStr">
        <is>
          <t>Havenmond vrij tussen footprints</t>
        </is>
      </c>
      <c r="B12" s="3" t="inlineStr">
        <is>
          <t>m</t>
        </is>
      </c>
      <c r="C12" s="4" t="n">
        <v>350</v>
      </c>
      <c r="D12" s="3" t="n">
        <v>350</v>
      </c>
      <c r="E12" s="3" t="inlineStr">
        <is>
          <t>Nautiek D29</t>
        </is>
      </c>
      <c r="F12" s="3" t="inlineStr">
        <is>
          <t>voldoet</t>
        </is>
      </c>
    </row>
    <row r="13">
      <c r="A13" s="3" t="inlineStr">
        <is>
          <t>Stopweg havenmond - draaikom</t>
        </is>
      </c>
      <c r="B13" s="3" t="inlineStr">
        <is>
          <t>m</t>
        </is>
      </c>
      <c r="C13" s="4" t="n">
        <v>1720</v>
      </c>
      <c r="D13" s="3" t="n">
        <v>1670</v>
      </c>
      <c r="E13" s="3" t="inlineStr">
        <is>
          <t>5 x LOA</t>
        </is>
      </c>
      <c r="F13" s="3" t="inlineStr">
        <is>
          <t>voldoet</t>
        </is>
      </c>
    </row>
    <row r="14">
      <c r="A14" s="3" t="inlineStr">
        <is>
          <t>Sleepbootkoppelpunt buiten mond</t>
        </is>
      </c>
      <c r="B14" s="3" t="inlineStr">
        <is>
          <t>m</t>
        </is>
      </c>
      <c r="C14" s="4" t="n">
        <v>1500</v>
      </c>
      <c r="D14" s="3" t="n"/>
      <c r="E14" s="3" t="inlineStr">
        <is>
          <t>rapport 5.1</t>
        </is>
      </c>
      <c r="F14" s="3" t="inlineStr">
        <is>
          <t>ingetekend</t>
        </is>
      </c>
    </row>
    <row r="15">
      <c r="A15" s="3" t="inlineStr">
        <is>
          <t>Containerkade fase 1</t>
        </is>
      </c>
      <c r="B15" s="3" t="inlineStr">
        <is>
          <t>m</t>
        </is>
      </c>
      <c r="C15" s="4" t="n">
        <v>802.1921820132022</v>
      </c>
      <c r="D15" s="3" t="n">
        <v>800</v>
      </c>
      <c r="E15" s="3" t="inlineStr">
        <is>
          <t>Containers D18</t>
        </is>
      </c>
      <c r="F15" s="3" t="inlineStr">
        <is>
          <t>gelijk</t>
        </is>
      </c>
    </row>
    <row r="16">
      <c r="A16" s="3" t="inlineStr">
        <is>
          <t>Containerkade fase 2</t>
        </is>
      </c>
      <c r="B16" s="3" t="inlineStr">
        <is>
          <t>m</t>
        </is>
      </c>
      <c r="C16" s="4" t="n">
        <v>1203.288273019349</v>
      </c>
      <c r="D16" s="3" t="n">
        <v>1200</v>
      </c>
      <c r="E16" s="3" t="inlineStr">
        <is>
          <t>Containers E18</t>
        </is>
      </c>
      <c r="F16" s="3" t="inlineStr">
        <is>
          <t>gelijk</t>
        </is>
      </c>
    </row>
    <row r="17">
      <c r="A17" s="3" t="inlineStr">
        <is>
          <t>Containerkade fase 3</t>
        </is>
      </c>
      <c r="B17" s="3" t="inlineStr">
        <is>
          <t>m</t>
        </is>
      </c>
      <c r="C17" s="4" t="n">
        <v>1604.384364026388</v>
      </c>
      <c r="D17" s="3" t="n">
        <v>1600</v>
      </c>
      <c r="E17" s="3" t="inlineStr">
        <is>
          <t>Containers F18</t>
        </is>
      </c>
      <c r="F17" s="3" t="inlineStr">
        <is>
          <t>gelijk</t>
        </is>
      </c>
    </row>
    <row r="18">
      <c r="A18" s="3" t="inlineStr">
        <is>
          <t>Containerterrein fase 1</t>
        </is>
      </c>
      <c r="B18" s="3" t="inlineStr">
        <is>
          <t>ha</t>
        </is>
      </c>
      <c r="C18" s="6" t="n">
        <v>72</v>
      </c>
      <c r="D18" s="3" t="n">
        <v>72</v>
      </c>
      <c r="E18" s="3" t="inlineStr">
        <is>
          <t>Invoer D20 (vraag 40,8)</t>
        </is>
      </c>
      <c r="F18" s="3" t="inlineStr">
        <is>
          <t>gelijk</t>
        </is>
      </c>
    </row>
    <row r="19">
      <c r="A19" s="3" t="inlineStr">
        <is>
          <t>Containerterrein fase 2</t>
        </is>
      </c>
      <c r="B19" s="3" t="inlineStr">
        <is>
          <t>ha</t>
        </is>
      </c>
      <c r="C19" s="6" t="n">
        <v>108</v>
      </c>
      <c r="D19" s="3" t="n">
        <v>108</v>
      </c>
      <c r="E19" s="3" t="inlineStr">
        <is>
          <t>Invoer E20 (vraag 67,9)</t>
        </is>
      </c>
      <c r="F19" s="3" t="inlineStr">
        <is>
          <t>gelijk</t>
        </is>
      </c>
    </row>
    <row r="20">
      <c r="A20" s="3" t="inlineStr">
        <is>
          <t>Containerterrein fase 3</t>
        </is>
      </c>
      <c r="B20" s="3" t="inlineStr">
        <is>
          <t>ha</t>
        </is>
      </c>
      <c r="C20" s="6" t="n">
        <v>144</v>
      </c>
      <c r="D20" s="3" t="n">
        <v>144</v>
      </c>
      <c r="E20" s="3" t="inlineStr">
        <is>
          <t>Invoer F20 (vraag 135,9)</t>
        </is>
      </c>
      <c r="F20" s="3" t="inlineStr">
        <is>
          <t>gelijk</t>
        </is>
      </c>
    </row>
    <row r="21">
      <c r="A21" s="3" t="inlineStr">
        <is>
          <t>Graankade</t>
        </is>
      </c>
      <c r="B21" s="3" t="inlineStr">
        <is>
          <t>m</t>
        </is>
      </c>
      <c r="C21" s="4" t="n">
        <v>300</v>
      </c>
      <c r="D21" s="3" t="n">
        <v>300</v>
      </c>
      <c r="E21" s="3" t="inlineStr">
        <is>
          <t>rapport 8.1</t>
        </is>
      </c>
      <c r="F21" s="3" t="inlineStr">
        <is>
          <t>gelijk</t>
        </is>
      </c>
    </row>
    <row r="22">
      <c r="A22" s="3" t="inlineStr">
        <is>
          <t>Graanterrein</t>
        </is>
      </c>
      <c r="B22" s="3" t="inlineStr">
        <is>
          <t>ha</t>
        </is>
      </c>
      <c r="C22" s="6" t="n">
        <v>30.4</v>
      </c>
      <c r="D22" s="3" t="n">
        <v>30</v>
      </c>
      <c r="E22" s="3" t="inlineStr">
        <is>
          <t>Invoer D39 (vraag 5,1)</t>
        </is>
      </c>
      <c r="F22" s="3" t="inlineStr">
        <is>
          <t>gelijk</t>
        </is>
      </c>
    </row>
    <row r="23">
      <c r="A23" s="3" t="inlineStr">
        <is>
          <t>RoRo-kade</t>
        </is>
      </c>
      <c r="B23" s="3" t="inlineStr">
        <is>
          <t>m</t>
        </is>
      </c>
      <c r="C23" s="4" t="n">
        <v>300</v>
      </c>
      <c r="D23" s="3" t="n">
        <v>300</v>
      </c>
      <c r="E23" s="3" t="inlineStr">
        <is>
          <t>rapport 8.2</t>
        </is>
      </c>
      <c r="F23" s="3" t="inlineStr">
        <is>
          <t>gelijk</t>
        </is>
      </c>
    </row>
    <row r="24">
      <c r="A24" s="3" t="inlineStr">
        <is>
          <t>RoRo-terrein</t>
        </is>
      </c>
      <c r="B24" s="3" t="inlineStr">
        <is>
          <t>ha</t>
        </is>
      </c>
      <c r="C24" s="6" t="n">
        <v>30.4</v>
      </c>
      <c r="D24" s="3" t="n">
        <v>30</v>
      </c>
      <c r="E24" s="3" t="inlineStr">
        <is>
          <t>Invoer D46 (vraag 26,9)</t>
        </is>
      </c>
      <c r="F24" s="3" t="inlineStr">
        <is>
          <t>gelijk</t>
        </is>
      </c>
    </row>
    <row r="25">
      <c r="A25" s="3" t="inlineStr">
        <is>
          <t>LNG-ligplaatsenvelop</t>
        </is>
      </c>
      <c r="B25" s="3" t="inlineStr">
        <is>
          <t>m</t>
        </is>
      </c>
      <c r="C25" s="4" t="n">
        <v>400</v>
      </c>
      <c r="D25" s="3" t="n">
        <v>400</v>
      </c>
      <c r="E25" s="3" t="inlineStr">
        <is>
          <t>tekenbrief</t>
        </is>
      </c>
      <c r="F25" s="3" t="inlineStr">
        <is>
          <t>dolphins indicatief</t>
        </is>
      </c>
    </row>
    <row r="26">
      <c r="A26" s="3" t="inlineStr">
        <is>
          <t>LNG-envelop tot draaikom</t>
        </is>
      </c>
      <c r="B26" s="3" t="inlineStr">
        <is>
          <t>m</t>
        </is>
      </c>
      <c r="C26" s="4" t="n">
        <v>561</v>
      </c>
      <c r="D26" s="3" t="inlineStr">
        <is>
          <t>&gt;0</t>
        </is>
      </c>
      <c r="E26" s="3" t="inlineStr"/>
      <c r="F26" s="3" t="inlineStr">
        <is>
          <t>vrij; QRA volgt</t>
        </is>
      </c>
    </row>
    <row r="27">
      <c r="A27" s="3" t="inlineStr">
        <is>
          <t>LNG-tanks tot containerterrein</t>
        </is>
      </c>
      <c r="B27" s="3" t="inlineStr">
        <is>
          <t>m</t>
        </is>
      </c>
      <c r="C27" s="4" t="n">
        <v>296</v>
      </c>
      <c r="D27" s="3" t="n"/>
      <c r="E27" s="3" t="inlineStr"/>
      <c r="F27" s="3" t="inlineStr">
        <is>
          <t>QRA volgt</t>
        </is>
      </c>
    </row>
    <row r="28">
      <c r="A28" s="3" t="inlineStr">
        <is>
          <t>LNG-zone (tanks + hervergassing)</t>
        </is>
      </c>
      <c r="B28" s="3" t="inlineStr">
        <is>
          <t>ha</t>
        </is>
      </c>
      <c r="C28" s="6" t="n">
        <v>31.9</v>
      </c>
      <c r="D28" s="3" t="n"/>
      <c r="E28" s="3" t="inlineStr">
        <is>
          <t>Invoer D51-D52</t>
        </is>
      </c>
      <c r="F28" s="3" t="inlineStr">
        <is>
          <t>3 tanks + optie 4e</t>
        </is>
      </c>
    </row>
    <row r="29">
      <c r="A29" s="3" t="inlineStr">
        <is>
          <t>Centrale + utilities (reservering)</t>
        </is>
      </c>
      <c r="B29" s="3" t="inlineStr">
        <is>
          <t>ha</t>
        </is>
      </c>
      <c r="C29" s="6" t="n">
        <v>43.5</v>
      </c>
      <c r="D29" s="3" t="n"/>
      <c r="E29" s="3" t="inlineStr">
        <is>
          <t>geen vast oppervlak</t>
        </is>
      </c>
      <c r="F29" s="3" t="inlineStr">
        <is>
          <t>reservering</t>
        </is>
      </c>
    </row>
    <row r="30">
      <c r="A30" s="3" t="inlineStr">
        <is>
          <t>Havendiensten / sleepboten</t>
        </is>
      </c>
      <c r="B30" s="3" t="inlineStr">
        <is>
          <t>ha</t>
        </is>
      </c>
      <c r="C30" s="6" t="n">
        <v>43</v>
      </c>
      <c r="D30" s="3" t="n"/>
      <c r="E30" s="3" t="inlineStr"/>
      <c r="F30" s="3" t="inlineStr">
        <is>
          <t>reservering</t>
        </is>
      </c>
    </row>
    <row r="31">
      <c r="A31" s="3" t="inlineStr">
        <is>
          <t>Vrije breedte hoofdbekken met schip aan de kade</t>
        </is>
      </c>
      <c r="B31" s="3" t="inlineStr">
        <is>
          <t>m</t>
        </is>
      </c>
      <c r="C31" s="4" t="n">
        <v>329</v>
      </c>
      <c r="D31" s="3" t="n">
        <v>220</v>
      </c>
      <c r="E31" s="3" t="inlineStr"/>
      <c r="F31" s="3" t="inlineStr">
        <is>
          <t>voldoet</t>
        </is>
      </c>
    </row>
    <row r="32">
      <c r="A32" s="3" t="inlineStr">
        <is>
          <t>Binnenbekken gebaggerd fase 1</t>
        </is>
      </c>
      <c r="B32" s="3" t="inlineStr">
        <is>
          <t>m2</t>
        </is>
      </c>
      <c r="C32" s="4" t="n">
        <v>869756</v>
      </c>
      <c r="D32" s="3" t="n"/>
      <c r="E32" s="3" t="inlineStr"/>
      <c r="F32" s="3" t="inlineStr"/>
    </row>
    <row r="33">
      <c r="A33" s="3" t="inlineStr">
        <is>
          <t>Binnenbekken gebaggerd fase 2 (cumulatief)</t>
        </is>
      </c>
      <c r="B33" s="3" t="inlineStr">
        <is>
          <t>m2</t>
        </is>
      </c>
      <c r="C33" s="4" t="n">
        <v>1006559</v>
      </c>
      <c r="D33" s="3" t="n"/>
      <c r="E33" s="3" t="inlineStr"/>
      <c r="F33" s="3" t="inlineStr"/>
    </row>
    <row r="34">
      <c r="A34" s="3" t="inlineStr">
        <is>
          <t>Binnenbekken gebaggerd fase 3 (cumulatief)</t>
        </is>
      </c>
      <c r="B34" s="3" t="inlineStr">
        <is>
          <t>m2</t>
        </is>
      </c>
      <c r="C34" s="4" t="n">
        <v>1143362</v>
      </c>
      <c r="D34" s="3" t="n"/>
      <c r="E34" s="3" t="inlineStr"/>
      <c r="F34" s="3" t="inlineStr"/>
    </row>
    <row r="35">
      <c r="A35" s="3" t="inlineStr">
        <is>
          <t>Voorhaven + LNG-insteek gebaggerd</t>
        </is>
      </c>
      <c r="B35" s="3" t="inlineStr">
        <is>
          <t>m2</t>
        </is>
      </c>
      <c r="C35" s="4" t="n">
        <v>1007981</v>
      </c>
      <c r="D35" s="3" t="n"/>
      <c r="E35" s="3" t="inlineStr"/>
      <c r="F35" s="3" t="inlineStr"/>
    </row>
    <row r="36">
      <c r="A36" s="3" t="inlineStr">
        <is>
          <t>Havenbekken totaal (zone 1)</t>
        </is>
      </c>
      <c r="B36" s="3" t="inlineStr">
        <is>
          <t>m2</t>
        </is>
      </c>
      <c r="C36" s="4" t="n">
        <v>2151343</v>
      </c>
      <c r="D36" s="3" t="n"/>
      <c r="E36" s="3" t="inlineStr">
        <is>
          <t>Grondwerk C6</t>
        </is>
      </c>
      <c r="F36" s="3" t="inlineStr">
        <is>
          <t>ingevuld</t>
        </is>
      </c>
    </row>
    <row r="37">
      <c r="A37" s="3" t="inlineStr">
        <is>
          <t>Geul buiten de mond (zone 2 + 3)</t>
        </is>
      </c>
      <c r="B37" s="3" t="inlineStr">
        <is>
          <t>m2</t>
        </is>
      </c>
      <c r="C37" s="4" t="n">
        <v>3960000</v>
      </c>
      <c r="D37" s="3" t="n"/>
      <c r="E37" s="3" t="inlineStr">
        <is>
          <t>Grondwerk C7 + C8</t>
        </is>
      </c>
      <c r="F37" s="3" t="inlineStr">
        <is>
          <t>splitsing open</t>
        </is>
      </c>
    </row>
    <row r="38">
      <c r="A38" s="3" t="inlineStr">
        <is>
          <t>Terreinophoging (terminals, LNG, centrale, havendienst)</t>
        </is>
      </c>
      <c r="B38" s="3" t="inlineStr">
        <is>
          <t>m2</t>
        </is>
      </c>
      <c r="C38" s="4" t="n">
        <v>3232056</v>
      </c>
      <c r="D38" s="3" t="n"/>
      <c r="E38" s="3" t="inlineStr">
        <is>
          <t>Grondwerk D21</t>
        </is>
      </c>
      <c r="F38" s="3" t="inlineStr">
        <is>
          <t>ingevuld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14" customWidth="1" min="4" max="4"/>
    <col width="13" customWidth="1" min="5" max="5"/>
    <col width="13" customWidth="1" min="6" max="6"/>
    <col width="12" customWidth="1" min="7" max="7"/>
    <col width="12" customWidth="1" min="8" max="8"/>
  </cols>
  <sheetData>
    <row r="1">
      <c r="A1" s="1" t="inlineStr">
        <is>
          <t>Ontwerpankerpunten DO</t>
        </is>
      </c>
    </row>
    <row r="2">
      <c r="A2" t="inlineStr">
        <is>
          <t>Havenontwerp Groep 1 | DO versie 2.0 | 22-10-2026 | SIRGAS 2000 / UTM 24S (EPSG:31984), meter</t>
        </is>
      </c>
    </row>
    <row r="4">
      <c r="A4" s="2" t="inlineStr">
        <is>
          <t>Punt</t>
        </is>
      </c>
      <c r="B4" s="2" t="inlineStr">
        <is>
          <t>Omschrijving</t>
        </is>
      </c>
      <c r="C4" s="2" t="inlineStr">
        <is>
          <t>E (m)</t>
        </is>
      </c>
      <c r="D4" s="2" t="inlineStr">
        <is>
          <t>N (m)</t>
        </is>
      </c>
      <c r="E4" s="2" t="inlineStr">
        <is>
          <t>Lat WGS84</t>
        </is>
      </c>
      <c r="F4" s="2" t="inlineStr">
        <is>
          <t>Lon WGS84</t>
        </is>
      </c>
      <c r="G4" s="2" t="inlineStr">
        <is>
          <t>x render (px)</t>
        </is>
      </c>
      <c r="H4" s="2" t="inlineStr">
        <is>
          <t>y render (px)</t>
        </is>
      </c>
    </row>
    <row r="5">
      <c r="A5" s="3" t="inlineStr">
        <is>
          <t>A1</t>
        </is>
      </c>
      <c r="B5" s="3" t="inlineStr">
        <is>
          <t>Referentiepunt kust (render 812,5 / 275)</t>
        </is>
      </c>
      <c r="C5" s="3" t="n">
        <v>297135</v>
      </c>
      <c r="D5" s="3" t="n">
        <v>7650000</v>
      </c>
      <c r="E5" s="3" t="n">
        <v>-21.2403293</v>
      </c>
      <c r="F5" s="3" t="n">
        <v>-40.9548262</v>
      </c>
      <c r="G5" s="3" t="n">
        <v>812.5</v>
      </c>
      <c r="H5" s="3" t="n">
        <v>275</v>
      </c>
    </row>
    <row r="6">
      <c r="A6" s="3" t="inlineStr">
        <is>
          <t>A2</t>
        </is>
      </c>
      <c r="B6" s="3" t="inlineStr">
        <is>
          <t>Middelpunt vrije draaikom</t>
        </is>
      </c>
      <c r="C6" s="3" t="n">
        <v>297534.6</v>
      </c>
      <c r="D6" s="3" t="n">
        <v>7649611.92</v>
      </c>
      <c r="E6" s="3" t="n">
        <v>-21.2438783</v>
      </c>
      <c r="F6" s="3" t="n">
        <v>-40.9510234</v>
      </c>
      <c r="G6" s="3" t="n">
        <v>845</v>
      </c>
      <c r="H6" s="3" t="n">
        <v>320</v>
      </c>
    </row>
    <row r="7">
      <c r="A7" s="3" t="inlineStr">
        <is>
          <t>A3</t>
        </is>
      </c>
      <c r="B7" s="3" t="inlineStr">
        <is>
          <t>Midden havenmond</t>
        </is>
      </c>
      <c r="C7" s="3" t="n">
        <v>299233.15</v>
      </c>
      <c r="D7" s="3" t="n">
        <v>7649340.79</v>
      </c>
      <c r="E7" s="3" t="n">
        <v>-21.2465152</v>
      </c>
      <c r="F7" s="3" t="n">
        <v>-40.9346946</v>
      </c>
      <c r="G7" s="3" t="n">
        <v>1007</v>
      </c>
      <c r="H7" s="3" t="n">
        <v>376</v>
      </c>
    </row>
    <row r="8">
      <c r="A8" s="3" t="inlineStr">
        <is>
          <t>A4</t>
        </is>
      </c>
      <c r="B8" s="3" t="inlineStr">
        <is>
          <t>Sleepbootkoppelpunt</t>
        </is>
      </c>
      <c r="C8" s="3" t="n">
        <v>300714.4</v>
      </c>
      <c r="D8" s="3" t="n">
        <v>7649104.35</v>
      </c>
      <c r="E8" s="3" t="n">
        <v>-21.2488135</v>
      </c>
      <c r="F8" s="3" t="n">
        <v>-40.9204543</v>
      </c>
      <c r="G8" s="3" t="n">
        <v>1148.3</v>
      </c>
      <c r="H8" s="3" t="n">
        <v>424.8</v>
      </c>
    </row>
    <row r="9">
      <c r="A9" s="3" t="inlineStr">
        <is>
          <t>A5</t>
        </is>
      </c>
      <c r="B9" s="3" t="inlineStr">
        <is>
          <t>Eindpunt geul (voorlopig)</t>
        </is>
      </c>
      <c r="C9" s="3" t="n">
        <v>317008.13</v>
      </c>
      <c r="D9" s="3" t="n">
        <v>7646503.5</v>
      </c>
      <c r="E9" s="3" t="n">
        <v>-21.274017</v>
      </c>
      <c r="F9" s="3" t="n">
        <v>-40.7637753</v>
      </c>
      <c r="G9" s="3" t="n">
        <v>2702.3</v>
      </c>
      <c r="H9" s="3" t="n">
        <v>962</v>
      </c>
    </row>
    <row r="10">
      <c r="A10" s="3" t="inlineStr">
        <is>
          <t>A6</t>
        </is>
      </c>
      <c r="B10" s="3" t="inlineStr">
        <is>
          <t>Wortel noordelijke golfbreker</t>
        </is>
      </c>
      <c r="C10" s="3" t="n">
        <v>297202.27</v>
      </c>
      <c r="D10" s="3" t="n">
        <v>7650918.75</v>
      </c>
      <c r="E10" s="3" t="n">
        <v>-21.2320404</v>
      </c>
      <c r="F10" s="3" t="n">
        <v>-40.9540689</v>
      </c>
      <c r="G10" s="3" t="n">
        <v>835</v>
      </c>
      <c r="H10" s="3" t="n">
        <v>186</v>
      </c>
    </row>
    <row r="11">
      <c r="A11" s="3" t="inlineStr">
        <is>
          <t>A7</t>
        </is>
      </c>
      <c r="B11" s="3" t="inlineStr">
        <is>
          <t>Wortel zuidelijke golfbreker</t>
        </is>
      </c>
      <c r="C11" s="3" t="n">
        <v>296285.1</v>
      </c>
      <c r="D11" s="3" t="n">
        <v>7647740.85</v>
      </c>
      <c r="E11" s="3" t="n">
        <v>-21.2606345</v>
      </c>
      <c r="F11" s="3" t="n">
        <v>-40.9632826</v>
      </c>
      <c r="G11" s="3" t="n">
        <v>690</v>
      </c>
      <c r="H11" s="3" t="n">
        <v>482</v>
      </c>
    </row>
    <row r="12">
      <c r="A12" s="3" t="inlineStr">
        <is>
          <t>A8</t>
        </is>
      </c>
      <c r="B12" s="3" t="inlineStr">
        <is>
          <t>Containerkade noordeinde</t>
        </is>
      </c>
      <c r="C12" s="3" t="n">
        <v>296970.74</v>
      </c>
      <c r="D12" s="3" t="n">
        <v>7649746.86</v>
      </c>
      <c r="E12" s="3" t="n">
        <v>-21.2425969</v>
      </c>
      <c r="F12" s="3" t="n">
        <v>-40.9564384</v>
      </c>
      <c r="G12" s="3" t="n">
        <v>792</v>
      </c>
      <c r="H12" s="3" t="n">
        <v>297</v>
      </c>
    </row>
    <row r="13">
      <c r="A13" s="3" t="inlineStr">
        <is>
          <t>A9</t>
        </is>
      </c>
      <c r="B13" s="3" t="inlineStr">
        <is>
          <t>Containerkade zuideinde</t>
        </is>
      </c>
      <c r="C13" s="3" t="n">
        <v>296513.33</v>
      </c>
      <c r="D13" s="3" t="n">
        <v>7648209.06</v>
      </c>
      <c r="E13" s="3" t="n">
        <v>-21.2564321</v>
      </c>
      <c r="F13" s="3" t="n">
        <v>-40.9610281</v>
      </c>
      <c r="G13" s="3" t="n">
        <v>720.5</v>
      </c>
      <c r="H13" s="3" t="n">
        <v>440</v>
      </c>
    </row>
    <row r="14">
      <c r="A14" s="3" t="inlineStr">
        <is>
          <t>A10</t>
        </is>
      </c>
      <c r="B14" s="3" t="inlineStr">
        <is>
          <t>LNG-steigerkop</t>
        </is>
      </c>
      <c r="C14" s="3" t="n">
        <v>298268.67</v>
      </c>
      <c r="D14" s="3" t="n">
        <v>7648742.76</v>
      </c>
      <c r="E14" s="3" t="n">
        <v>-21.2518087</v>
      </c>
      <c r="F14" s="3" t="n">
        <v>-40.9440557</v>
      </c>
      <c r="G14" s="3" t="n">
        <v>902</v>
      </c>
      <c r="H14" s="3" t="n">
        <v>418</v>
      </c>
    </row>
    <row r="15">
      <c r="A15" s="3" t="inlineStr">
        <is>
          <t>A11</t>
        </is>
      </c>
      <c r="B15" s="3" t="inlineStr">
        <is>
          <t>Graankade midden</t>
        </is>
      </c>
      <c r="C15" s="3" t="n">
        <v>296296.46</v>
      </c>
      <c r="D15" s="3" t="n">
        <v>7650045.75</v>
      </c>
      <c r="E15" s="3" t="n">
        <v>-21.2398224</v>
      </c>
      <c r="F15" s="3" t="n">
        <v>-40.9628973</v>
      </c>
      <c r="G15" s="3" t="n">
        <v>731</v>
      </c>
      <c r="H15" s="3" t="n">
        <v>256</v>
      </c>
    </row>
    <row r="16">
      <c r="A16" s="3" t="inlineStr">
        <is>
          <t>A12</t>
        </is>
      </c>
      <c r="B16" s="3" t="inlineStr">
        <is>
          <t>RoRo-kade midden</t>
        </is>
      </c>
      <c r="C16" s="3" t="n">
        <v>295762.81</v>
      </c>
      <c r="D16" s="3" t="n">
        <v>7649951.65</v>
      </c>
      <c r="E16" s="3" t="n">
        <v>-21.2406122</v>
      </c>
      <c r="F16" s="3" t="n">
        <v>-40.9680487</v>
      </c>
      <c r="G16" s="3" t="n">
        <v>677</v>
      </c>
      <c r="H16" s="3" t="n">
        <v>256</v>
      </c>
    </row>
    <row r="18">
      <c r="A18" t="inlineStr">
        <is>
          <t>DO overgetrokken van de Porto Central-render: schaal 10.035 m/px, draaiing 10.0 gr, render (812,5; 275) = A1.</t>
        </is>
      </c>
    </row>
    <row r="19">
      <c r="A19" t="inlineStr">
        <is>
          <t>E = 9.882546 x + 1.742559 y + 288626.228;  N = 1.742559 x + -9.882546 y + 7651301.871  (x, y = renderpixel, y omlaag).</t>
        </is>
      </c>
    </row>
    <row r="20">
      <c r="A20" t="inlineStr">
        <is>
          <t>Lat/lon via pyproj (EPSG:31984 -&gt; EPSG:4326).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14" customWidth="1" min="4" max="4"/>
    <col width="13" customWidth="1" min="5" max="5"/>
    <col width="13" customWidth="1" min="6" max="6"/>
  </cols>
  <sheetData>
    <row r="1">
      <c r="A1" s="1" t="inlineStr">
        <is>
          <t>Ontwerpankerpunten SO (ter vergelijking)</t>
        </is>
      </c>
    </row>
    <row r="2">
      <c r="A2" t="inlineStr">
        <is>
          <t>Havenontwerp Groep 1 | DO versie 2.0 | 22-10-2026 | SIRGAS 2000 / UTM 24S (EPSG:31984), meter</t>
        </is>
      </c>
    </row>
    <row r="4">
      <c r="A4" s="2" t="inlineStr">
        <is>
          <t>Punt</t>
        </is>
      </c>
      <c r="B4" s="2" t="inlineStr">
        <is>
          <t>Omschrijving</t>
        </is>
      </c>
      <c r="C4" s="2" t="inlineStr">
        <is>
          <t>E (m)</t>
        </is>
      </c>
      <c r="D4" s="2" t="inlineStr">
        <is>
          <t>N (m)</t>
        </is>
      </c>
      <c r="E4" s="2" t="inlineStr">
        <is>
          <t>Lat</t>
        </is>
      </c>
      <c r="F4" s="2" t="inlineStr">
        <is>
          <t>Lon</t>
        </is>
      </c>
    </row>
    <row r="5">
      <c r="A5" s="3" t="inlineStr">
        <is>
          <t>A1</t>
        </is>
      </c>
      <c r="B5" s="3" t="inlineStr">
        <is>
          <t>Referentiepunt kust (render 812,5 / 275)</t>
        </is>
      </c>
      <c r="C5" s="3" t="n">
        <v>297135</v>
      </c>
      <c r="D5" s="3" t="n">
        <v>7650000</v>
      </c>
      <c r="E5" s="3" t="n">
        <v>-21.2403293</v>
      </c>
      <c r="F5" s="3" t="n">
        <v>-40.9548262</v>
      </c>
    </row>
    <row r="6">
      <c r="A6" s="3" t="inlineStr">
        <is>
          <t>A2</t>
        </is>
      </c>
      <c r="B6" s="3" t="inlineStr">
        <is>
          <t>Middelpunt vrije draaikom</t>
        </is>
      </c>
      <c r="C6" s="3" t="n">
        <v>297224.18</v>
      </c>
      <c r="D6" s="3" t="n">
        <v>7649638.7</v>
      </c>
      <c r="E6" s="3" t="n">
        <v>-21.2436019</v>
      </c>
      <c r="F6" s="3" t="n">
        <v>-40.9540102</v>
      </c>
    </row>
    <row r="7">
      <c r="A7" s="3" t="inlineStr">
        <is>
          <t>A3</t>
        </is>
      </c>
      <c r="B7" s="3" t="inlineStr">
        <is>
          <t>Midden havenmond</t>
        </is>
      </c>
      <c r="C7" s="3" t="n">
        <v>299054.7</v>
      </c>
      <c r="D7" s="3" t="n">
        <v>7649370.46</v>
      </c>
      <c r="E7" s="3" t="n">
        <v>-21.2462275</v>
      </c>
      <c r="F7" s="3" t="n">
        <v>-40.9364101</v>
      </c>
    </row>
    <row r="8">
      <c r="A8" s="3" t="inlineStr">
        <is>
          <t>A4</t>
        </is>
      </c>
      <c r="B8" s="3" t="inlineStr">
        <is>
          <t>Geulknik</t>
        </is>
      </c>
      <c r="C8" s="3" t="n">
        <v>301231.45</v>
      </c>
      <c r="D8" s="3" t="n">
        <v>7649051.49</v>
      </c>
      <c r="E8" s="3" t="n">
        <v>-21.2493475</v>
      </c>
      <c r="F8" s="3" t="n">
        <v>-40.91548</v>
      </c>
    </row>
    <row r="9">
      <c r="A9" s="3" t="inlineStr">
        <is>
          <t>A5</t>
        </is>
      </c>
      <c r="B9" s="3" t="inlineStr">
        <is>
          <t>Eindpunt geul (voorlopig)</t>
        </is>
      </c>
      <c r="C9" s="3" t="n">
        <v>316924.72</v>
      </c>
      <c r="D9" s="3" t="n">
        <v>7650884.84</v>
      </c>
      <c r="E9" s="3" t="n">
        <v>-21.2344404</v>
      </c>
      <c r="F9" s="3" t="n">
        <v>-40.7641076</v>
      </c>
    </row>
    <row r="10">
      <c r="A10" s="3" t="inlineStr">
        <is>
          <t>A6</t>
        </is>
      </c>
      <c r="B10" s="3" t="inlineStr">
        <is>
          <t>Wortel noordelijke golfbreker</t>
        </is>
      </c>
      <c r="C10" s="3" t="n">
        <v>297202.27</v>
      </c>
      <c r="D10" s="3" t="n">
        <v>7650918.75</v>
      </c>
      <c r="E10" s="3" t="n">
        <v>-21.2320404</v>
      </c>
      <c r="F10" s="3" t="n">
        <v>-40.9540689</v>
      </c>
    </row>
    <row r="11">
      <c r="A11" s="3" t="inlineStr">
        <is>
          <t>A7</t>
        </is>
      </c>
      <c r="B11" s="3" t="inlineStr">
        <is>
          <t>Wortel zuidelijke golfbreker</t>
        </is>
      </c>
      <c r="C11" s="3" t="n">
        <v>296285.1</v>
      </c>
      <c r="D11" s="3" t="n">
        <v>7647740.85</v>
      </c>
      <c r="E11" s="3" t="n">
        <v>-21.2606345</v>
      </c>
      <c r="F11" s="3" t="n">
        <v>-40.9632826</v>
      </c>
    </row>
    <row r="12">
      <c r="A12" s="3" t="inlineStr">
        <is>
          <t>A8</t>
        </is>
      </c>
      <c r="B12" s="3" t="inlineStr">
        <is>
          <t>Containerkade noordeinde</t>
        </is>
      </c>
      <c r="C12" s="3" t="n">
        <v>295982.49</v>
      </c>
      <c r="D12" s="3" t="n">
        <v>7649572.61</v>
      </c>
      <c r="E12" s="3" t="n">
        <v>-21.2440597</v>
      </c>
      <c r="F12" s="3" t="n">
        <v>-40.9659781</v>
      </c>
    </row>
    <row r="13">
      <c r="A13" s="3" t="inlineStr">
        <is>
          <t>A9</t>
        </is>
      </c>
      <c r="B13" s="3" t="inlineStr">
        <is>
          <t>Containerkade zuideinde</t>
        </is>
      </c>
      <c r="C13" s="3" t="n">
        <v>295525.07</v>
      </c>
      <c r="D13" s="3" t="n">
        <v>7648034.81</v>
      </c>
      <c r="E13" s="3" t="n">
        <v>-21.2578946</v>
      </c>
      <c r="F13" s="3" t="n">
        <v>-40.9705687</v>
      </c>
    </row>
    <row r="14">
      <c r="A14" s="3" t="inlineStr">
        <is>
          <t>A10</t>
        </is>
      </c>
      <c r="B14" s="3" t="inlineStr">
        <is>
          <t>LNG-steigerkop</t>
        </is>
      </c>
      <c r="C14" s="3" t="n">
        <v>298268.67</v>
      </c>
      <c r="D14" s="3" t="n">
        <v>7648742.76</v>
      </c>
      <c r="E14" s="3" t="n">
        <v>-21.2518087</v>
      </c>
      <c r="F14" s="3" t="n">
        <v>-40.9440557</v>
      </c>
    </row>
    <row r="15">
      <c r="A15" s="3" t="inlineStr">
        <is>
          <t>A11</t>
        </is>
      </c>
      <c r="B15" s="3" t="inlineStr">
        <is>
          <t>Graankade midden</t>
        </is>
      </c>
      <c r="C15" s="3" t="n">
        <v>296296.46</v>
      </c>
      <c r="D15" s="3" t="n">
        <v>7650045.75</v>
      </c>
      <c r="E15" s="3" t="n">
        <v>-21.2398224</v>
      </c>
      <c r="F15" s="3" t="n">
        <v>-40.9628973</v>
      </c>
    </row>
    <row r="16">
      <c r="A16" s="3" t="inlineStr">
        <is>
          <t>A12</t>
        </is>
      </c>
      <c r="B16" s="3" t="inlineStr">
        <is>
          <t>RoRo-kade midden</t>
        </is>
      </c>
      <c r="C16" s="3" t="n">
        <v>296928.95</v>
      </c>
      <c r="D16" s="3" t="n">
        <v>7650157.27</v>
      </c>
      <c r="E16" s="3" t="n">
        <v>-21.2388861</v>
      </c>
      <c r="F16" s="3" t="n">
        <v>-40.9567921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Ondergrond en georeferentiecontrole</t>
        </is>
      </c>
    </row>
    <row r="2">
      <c r="A2" t="inlineStr">
        <is>
          <t>Havenontwerp Groep 1 | DO versie 2.0 | 22-10-2026 | SIRGAS 2000 / UTM 24S (EPSG:31984), meter</t>
        </is>
      </c>
    </row>
    <row r="4">
      <c r="A4" s="2" t="inlineStr">
        <is>
          <t>Onderdeel</t>
        </is>
      </c>
      <c r="B4" s="2" t="inlineStr">
        <is>
          <t>Waarde</t>
        </is>
      </c>
    </row>
    <row r="5">
      <c r="A5" s="3" t="inlineStr">
        <is>
          <t>Kaartbron</t>
        </is>
      </c>
      <c r="B5" s="3" t="inlineStr">
        <is>
          <t>Copernicus Sentinel-2 L2A (ESA), opname 03-07-2026, tegels 24KTB en 24KUB, AWS Open Data (sentinel-cogs), geraadpleegd 22-10-2026; bestand CAD/Ondergrond/S2_20260703_TCI_EPSG31984.jpg + .jgw + .prj</t>
        </is>
      </c>
    </row>
    <row r="6">
      <c r="A6" s="3" t="inlineStr">
        <is>
          <t>Bronresolutie</t>
        </is>
      </c>
      <c r="B6" s="3" t="inlineStr">
        <is>
          <t>10 m per pixel</t>
        </is>
      </c>
    </row>
    <row r="7">
      <c r="A7" s="3" t="inlineStr">
        <is>
          <t>Stelsel</t>
        </is>
      </c>
      <c r="B7" s="3" t="inlineStr">
        <is>
          <t>SIRGAS 2000 / UTM zone 24S, EPSG:31984; Sentinel-2 levert WGS84/UTM 24S (EPSG:32724), verschil &lt; 0,1 m</t>
        </is>
      </c>
    </row>
    <row r="8">
      <c r="A8" s="3" t="inlineStr">
        <is>
          <t>Hoogtedatum</t>
        </is>
      </c>
      <c r="B8" s="3" t="inlineStr">
        <is>
          <t>Diepten t.o.v. MLWS (voorlopig); koppeling MLWS - DHN nog vast te leggen</t>
        </is>
      </c>
    </row>
    <row r="9">
      <c r="A9" s="3" t="inlineStr">
        <is>
          <t>Kustlijn</t>
        </is>
      </c>
      <c r="B9" s="3" t="inlineStr">
        <is>
          <t>Waterlijn uit NDWI (B03/B08) van 03-07-2026; geen MLWS-lijn</t>
        </is>
      </c>
    </row>
    <row r="10">
      <c r="A10" s="3" t="inlineStr">
        <is>
          <t>Kustcontrole GSHHS</t>
        </is>
      </c>
      <c r="B10" s="3" t="inlineStr">
        <is>
          <t>Gemiddeld dE 13,8 m, sd 65,6 m over 15 profielen</t>
        </is>
      </c>
    </row>
    <row r="11">
      <c r="A11" s="3" t="inlineStr">
        <is>
          <t>Bekende afstand</t>
        </is>
      </c>
      <c r="B11" s="3" t="inlineStr">
        <is>
          <t>Bronpunten: geodetisch 13.582,42 m; grid 13.583,80 m; verschil 1,38 m (k = 1.000101)</t>
        </is>
      </c>
    </row>
    <row r="12">
      <c r="A12" s="3" t="inlineStr">
        <is>
          <t>Noordrichting</t>
        </is>
      </c>
      <c r="B12" s="3" t="inlineStr">
        <is>
          <t>Meridiaanconvergentie 0.703 gr; bladen zijn grid-noord</t>
        </is>
      </c>
    </row>
    <row r="13">
      <c r="A13" s="3" t="inlineStr">
        <is>
          <t>Bronpunt São Francisco de Itabapoana</t>
        </is>
      </c>
      <c r="B13" s="3" t="inlineStr">
        <is>
          <t>-21.309884, -40.957744 -&gt; E 296.927,63, N 7.642.294,86; 17,6 m tot waterlijn</t>
        </is>
      </c>
    </row>
    <row r="14">
      <c r="A14" s="3" t="inlineStr">
        <is>
          <t>Bronpunt Rio Marobá / Barra de Boa Vista</t>
        </is>
      </c>
      <c r="B14" s="3" t="inlineStr">
        <is>
          <t>-21.190796, -40.926339 -&gt; E 300.025,38, N 7.655.520,73; 13,9 m tot waterlijn</t>
        </is>
      </c>
    </row>
    <row r="16">
      <c r="A16" s="7" t="inlineStr">
        <is>
          <t>Herkenningspunten in Civil 3D (in te vullen na GEOMAPIMAGE / Map Aerial)</t>
        </is>
      </c>
    </row>
    <row r="17">
      <c r="A17" s="8" t="inlineStr">
        <is>
          <t>Punt</t>
        </is>
      </c>
      <c r="B17" s="8" t="inlineStr">
        <is>
          <t>Omschrijving</t>
        </is>
      </c>
      <c r="C17" s="8" t="inlineStr">
        <is>
          <t>E tekening</t>
        </is>
      </c>
      <c r="D17" s="8" t="inlineStr">
        <is>
          <t>N tekening</t>
        </is>
      </c>
      <c r="E17" s="8" t="inlineStr">
        <is>
          <t>E Map Aerial</t>
        </is>
      </c>
      <c r="F17" s="8" t="inlineStr">
        <is>
          <t>N Map Aerial</t>
        </is>
      </c>
      <c r="G17" s="8" t="inlineStr">
        <is>
          <t>dE (m)</t>
        </is>
      </c>
      <c r="H17" s="8" t="inlineStr">
        <is>
          <t>dN (m)</t>
        </is>
      </c>
      <c r="I17" s="8" t="inlineStr">
        <is>
          <t>afwijking (m)</t>
        </is>
      </c>
    </row>
    <row r="18">
      <c r="A18" t="inlineStr">
        <is>
          <t>H1</t>
        </is>
      </c>
      <c r="B18" t="inlineStr">
        <is>
          <t>Wegkruising landinwaarts (kies zelf)</t>
        </is>
      </c>
      <c r="C18" s="9" t="n"/>
      <c r="D18" s="9" t="n"/>
      <c r="E18" s="9" t="n"/>
      <c r="F18" s="9" t="n"/>
      <c r="G18">
        <f>IF(COUNT(C18,E18)=2,E18-C18,"")</f>
        <v/>
      </c>
      <c r="H18">
        <f>IF(COUNT(D18,F18)=2,F18-D18,"")</f>
        <v/>
      </c>
      <c r="I18">
        <f>IF(COUNT(G18,H18)=2,SQRT(G18^2+H18^2),"")</f>
        <v/>
      </c>
    </row>
    <row r="19">
      <c r="A19" t="inlineStr">
        <is>
          <t>H2</t>
        </is>
      </c>
      <c r="B19" t="inlineStr">
        <is>
          <t>Hoek bouwterrein fase 1 aan het strand</t>
        </is>
      </c>
      <c r="C19" s="9" t="n"/>
      <c r="D19" s="9" t="n"/>
      <c r="E19" s="9" t="n"/>
      <c r="F19" s="9" t="n"/>
      <c r="G19">
        <f>IF(COUNT(C19,E19)=2,E19-C19,"")</f>
        <v/>
      </c>
      <c r="H19">
        <f>IF(COUNT(D19,F19)=2,F19-D19,"")</f>
        <v/>
      </c>
      <c r="I19">
        <f>IF(COUNT(G19,H19)=2,SQRT(G19^2+H19^2),"")</f>
        <v/>
      </c>
    </row>
    <row r="20">
      <c r="A20" t="inlineStr">
        <is>
          <t>H3</t>
        </is>
      </c>
      <c r="B20" t="inlineStr">
        <is>
          <t>Kustbebouwing zuid, wegkruising</t>
        </is>
      </c>
      <c r="C20" s="9" t="n"/>
      <c r="D20" s="9" t="n"/>
      <c r="E20" s="9" t="n"/>
      <c r="F20" s="9" t="n"/>
      <c r="G20">
        <f>IF(COUNT(C20,E20)=2,E20-C20,"")</f>
        <v/>
      </c>
      <c r="H20">
        <f>IF(COUNT(D20,F20)=2,F20-D20,"")</f>
        <v/>
      </c>
      <c r="I20">
        <f>IF(COUNT(G20,H20)=2,SQRT(G20^2+H20^2),"")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</cols>
  <sheetData>
    <row r="1">
      <c r="A1" s="1" t="inlineStr">
        <is>
          <t>Kustlijncontrole Sentinel-2 tegen GSHHS (full)</t>
        </is>
      </c>
    </row>
    <row r="2">
      <c r="A2" t="inlineStr">
        <is>
          <t>Havenontwerp Groep 1 | DO versie 2.0 | 22-10-2026 | SIRGAS 2000 / UTM 24S (EPSG:31984), meter</t>
        </is>
      </c>
    </row>
    <row r="4">
      <c r="A4" s="2" t="inlineStr">
        <is>
          <t>N (m)</t>
        </is>
      </c>
      <c r="B4" s="2" t="inlineStr">
        <is>
          <t>E waterlijn S2</t>
        </is>
      </c>
      <c r="C4" s="2" t="inlineStr">
        <is>
          <t>E kust GSHHS</t>
        </is>
      </c>
      <c r="D4" s="2" t="inlineStr">
        <is>
          <t>dE (m)</t>
        </is>
      </c>
    </row>
    <row r="5">
      <c r="A5" s="3" t="n">
        <v>7642000</v>
      </c>
      <c r="B5" s="3" t="n">
        <v>296762.5</v>
      </c>
      <c r="C5" s="3" t="n">
        <v>296820.6</v>
      </c>
      <c r="D5" s="3" t="n">
        <v>58.1</v>
      </c>
    </row>
    <row r="6">
      <c r="A6" s="3" t="n">
        <v>7643000</v>
      </c>
      <c r="B6" s="3" t="n">
        <v>296930</v>
      </c>
      <c r="C6" s="3" t="n">
        <v>296913.9</v>
      </c>
      <c r="D6" s="3" t="n">
        <v>-16.1</v>
      </c>
    </row>
    <row r="7">
      <c r="A7" s="3" t="n">
        <v>7644000</v>
      </c>
      <c r="B7" s="3" t="n">
        <v>296747.5</v>
      </c>
      <c r="C7" s="3" t="n">
        <v>296716</v>
      </c>
      <c r="D7" s="3" t="n">
        <v>-31.5</v>
      </c>
    </row>
    <row r="8">
      <c r="A8" s="3" t="n">
        <v>7645000</v>
      </c>
      <c r="B8" s="3" t="n">
        <v>296570</v>
      </c>
      <c r="C8" s="3" t="n">
        <v>296527.1</v>
      </c>
      <c r="D8" s="3" t="n">
        <v>-42.9</v>
      </c>
    </row>
    <row r="9">
      <c r="A9" s="3" t="n">
        <v>7646000</v>
      </c>
      <c r="B9" s="3" t="n">
        <v>296450</v>
      </c>
      <c r="C9" s="3" t="n">
        <v>296431</v>
      </c>
      <c r="D9" s="3" t="n">
        <v>-19</v>
      </c>
    </row>
    <row r="10">
      <c r="A10" s="3" t="n">
        <v>7647000</v>
      </c>
      <c r="B10" s="3" t="n">
        <v>296460</v>
      </c>
      <c r="C10" s="3" t="n">
        <v>296416.3</v>
      </c>
      <c r="D10" s="3" t="n">
        <v>-43.7</v>
      </c>
    </row>
    <row r="11">
      <c r="A11" s="3" t="n">
        <v>7648000</v>
      </c>
      <c r="B11" s="3" t="n">
        <v>296590</v>
      </c>
      <c r="C11" s="3" t="n">
        <v>296490.5</v>
      </c>
      <c r="D11" s="3" t="n">
        <v>-99.5</v>
      </c>
    </row>
    <row r="12">
      <c r="A12" s="3" t="n">
        <v>7649000</v>
      </c>
      <c r="B12" s="3" t="n">
        <v>296817.5</v>
      </c>
      <c r="C12" s="3" t="n">
        <v>296828.9</v>
      </c>
      <c r="D12" s="3" t="n">
        <v>11.4</v>
      </c>
    </row>
    <row r="13">
      <c r="A13" s="3" t="n">
        <v>7650000</v>
      </c>
      <c r="B13" s="3" t="n">
        <v>297135.7</v>
      </c>
      <c r="C13" s="3" t="n">
        <v>297126</v>
      </c>
      <c r="D13" s="3" t="n">
        <v>-9.699999999999999</v>
      </c>
    </row>
    <row r="14">
      <c r="A14" s="3" t="n">
        <v>7651000</v>
      </c>
      <c r="B14" s="3" t="n">
        <v>297562.5</v>
      </c>
      <c r="C14" s="3" t="n">
        <v>297579</v>
      </c>
      <c r="D14" s="3" t="n">
        <v>16.5</v>
      </c>
    </row>
    <row r="15">
      <c r="A15" s="3" t="n">
        <v>7652000</v>
      </c>
      <c r="B15" s="3" t="n">
        <v>298106.4</v>
      </c>
      <c r="C15" s="3" t="n">
        <v>298168.3</v>
      </c>
      <c r="D15" s="3" t="n">
        <v>61.9</v>
      </c>
    </row>
    <row r="16">
      <c r="A16" s="3" t="n">
        <v>7653000</v>
      </c>
      <c r="B16" s="3" t="n">
        <v>298712.5</v>
      </c>
      <c r="C16" s="3" t="n">
        <v>298678.4</v>
      </c>
      <c r="D16" s="3" t="n">
        <v>-34.1</v>
      </c>
    </row>
    <row r="17">
      <c r="A17" s="3" t="n">
        <v>7654000</v>
      </c>
      <c r="B17" s="3" t="n">
        <v>299147.5</v>
      </c>
      <c r="C17" s="3" t="n">
        <v>299245.6</v>
      </c>
      <c r="D17" s="3" t="n">
        <v>98.09999999999999</v>
      </c>
    </row>
    <row r="18">
      <c r="A18" s="3" t="n">
        <v>7655000</v>
      </c>
      <c r="B18" s="3" t="n">
        <v>299668.8</v>
      </c>
      <c r="C18" s="3" t="n">
        <v>299814.5</v>
      </c>
      <c r="D18" s="3" t="n">
        <v>145.8</v>
      </c>
    </row>
    <row r="19">
      <c r="A19" s="3" t="n">
        <v>7656000</v>
      </c>
      <c r="B19" s="3" t="n">
        <v>300280</v>
      </c>
      <c r="C19" s="3" t="n">
        <v>300391.2</v>
      </c>
      <c r="D19" s="3" t="n">
        <v>111.2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5" customWidth="1" min="3" max="3"/>
    <col width="60" customWidth="1" min="4" max="4"/>
    <col width="14" customWidth="1" min="5" max="5"/>
    <col width="45" customWidth="1" min="6" max="6"/>
  </cols>
  <sheetData>
    <row r="1">
      <c r="A1" s="1" t="inlineStr">
        <is>
          <t>Besluitenlijst na bespreking schetsontwerp</t>
        </is>
      </c>
    </row>
    <row r="2">
      <c r="A2" t="inlineStr">
        <is>
          <t>Havenontwerp Groep 1 | DO versie 2.0 | 22-10-2026 | SIRGAS 2000 / UTM 24S (EPSG:31984), meter</t>
        </is>
      </c>
    </row>
    <row r="4">
      <c r="A4" s="2" t="inlineStr">
        <is>
          <t>Nr</t>
        </is>
      </c>
      <c r="B4" s="2" t="inlineStr">
        <is>
          <t>Onderwerp</t>
        </is>
      </c>
      <c r="C4" s="2" t="inlineStr">
        <is>
          <t>Schetsontwerp (SO)</t>
        </is>
      </c>
      <c r="D4" s="2" t="inlineStr">
        <is>
          <t>Besluit / definitief ontwerp (DO)</t>
        </is>
      </c>
      <c r="E4" s="2" t="inlineStr">
        <is>
          <t>Status</t>
        </is>
      </c>
      <c r="F4" s="2" t="inlineStr">
        <is>
          <t>Vervolgstap</t>
        </is>
      </c>
    </row>
    <row r="5">
      <c r="A5" s="3" t="inlineStr">
        <is>
          <t>B01</t>
        </is>
      </c>
      <c r="B5" s="3" t="inlineStr">
        <is>
          <t>Havenligging</t>
        </is>
      </c>
      <c r="C5" s="3" t="inlineStr">
        <is>
          <t>Zoekgebied locatie B; exacte plaats open.</t>
        </is>
      </c>
      <c r="D5" s="3" t="inlineStr">
        <is>
          <t>Locatie vastgesteld: Porto Central, Presidente Kennedy - Espírito Santo (29350-000). Havenas haaks op de kust (azimut 110 gr) door het bouwterrein fase 1; kustpunt A1 E 297.135,0 / N 7.650.000,0; bekkens landinwaarts op het Porto Central-terrein.</t>
        </is>
      </c>
      <c r="E5" s="3" t="inlineStr">
        <is>
          <t>Vastgelegd</t>
        </is>
      </c>
      <c r="F5" s="3" t="inlineStr">
        <is>
          <t>Ligging van de havenas op het terrein afstemmen met het bouwterrein fase 1 / masterplan.</t>
        </is>
      </c>
    </row>
    <row r="6">
      <c r="A6" s="3" t="inlineStr">
        <is>
          <t>B02</t>
        </is>
      </c>
      <c r="B6" s="3" t="inlineStr">
        <is>
          <t>Havenvorm en programma</t>
        </is>
      </c>
      <c r="C6" s="3" t="inlineStr">
        <is>
          <t>SO: grove schets op de Porto Central-render.</t>
        </is>
      </c>
      <c r="D6" s="3" t="inlineStr">
        <is>
          <t>DO: de vorm van Porto Central is aangehouden (gebogen dammen, ingang naar het OZO, hoofdbekken langs de noordkade, containervinger, tankpark langs de zuidrand), maar er staan alleen functies uit de opdracht in: containers, droge bulk (graan), voertuigen (RoRo), LNG en de centrale. Erts, werf, industrie, supply base, olie en het tweede insteekbekken zijn weggelaten.</t>
        </is>
      </c>
      <c r="E6" s="3" t="inlineStr">
        <is>
          <t>Vastgelegd</t>
        </is>
      </c>
      <c r="F6" s="3" t="inlineStr">
        <is>
          <t>Geen; eventuele latere uitbreiding apart onderbouwen.</t>
        </is>
      </c>
    </row>
    <row r="7">
      <c r="A7" s="3" t="inlineStr">
        <is>
          <t>B03</t>
        </is>
      </c>
      <c r="B7" s="3" t="inlineStr">
        <is>
          <t>Havenmond</t>
        </is>
      </c>
      <c r="C7" s="3" t="inlineStr">
        <is>
          <t>SO: 350 m tussen damhartlijnen, vrij tussen de footprints maar 260 m.</t>
        </is>
      </c>
      <c r="D7" s="3" t="inlineStr">
        <is>
          <t>DO: dammen verlegd, 350 m vrij tussen de golfbrekerfootprints (90 m breed).</t>
        </is>
      </c>
      <c r="E7" s="3" t="inlineStr">
        <is>
          <t>Verwerkt</t>
        </is>
      </c>
      <c r="F7" s="3" t="inlineStr">
        <is>
          <t>Na golfbrekerontwerp (kruin, taluds) footprint en vrije breedte opnieuw meten.</t>
        </is>
      </c>
    </row>
    <row r="8">
      <c r="A8" s="3" t="inlineStr">
        <is>
          <t>B04</t>
        </is>
      </c>
      <c r="B8" s="3" t="inlineStr">
        <is>
          <t>Manoeuvreren met grote schepen</t>
        </is>
      </c>
      <c r="C8" s="3" t="inlineStr">
        <is>
          <t>SO: containerkade in een insteekbekken: een schip van 334 m moet 63 gr draaien vanuit een hoofdbekken van 370 m breed. Met een vuistregel voor de bochtstraal van minimaal 3 x LOA (ca. 1.000 m) past dat niet. Ook overlapt de draaikom de containervinger (1,5 ha).</t>
        </is>
      </c>
      <c r="D8" s="3" t="inlineStr">
        <is>
          <t>DO: containerkade aan de oostzijde van de vinger, direct aan de voorhaven. Schepen zwaaien in de draaikom (D 720 m = 2,2 LOA) en verhalen zijwaarts met sleepboten naar de kade: geen bocht buiten de draaikom. Graan- en RoRo-schepen varen met een koerswijziging van 19 gr het hoofdbekken in en verlaten het achteruit of zwaaien vooraf in de draaikom. Draaikom 170 m vrij van afgemeerde schepen; stopweg 1.720 m = 5,1 LOA.</t>
        </is>
      </c>
      <c r="E8" s="3" t="inlineStr">
        <is>
          <t>Verwerkt</t>
        </is>
      </c>
      <c r="F8" s="3" t="inlineStr">
        <is>
          <t>Toetsen met bochtstralen uit PIANC WG121 en een nautische simulatie met sleepboten.</t>
        </is>
      </c>
    </row>
    <row r="9">
      <c r="A9" s="3" t="inlineStr">
        <is>
          <t>B05</t>
        </is>
      </c>
      <c r="B9" s="3" t="inlineStr">
        <is>
          <t>Toegangsgeul en sleepboten</t>
        </is>
      </c>
      <c r="C9" s="3" t="inlineStr">
        <is>
          <t>SO: geul knikt 15 gr op 2,2 km buiten de mond; geen sleepbootkoppelpunt.</t>
        </is>
      </c>
      <c r="D9" s="3" t="inlineStr">
        <is>
          <t>DO: rechte geul 220 m, -18,20 m MLWS, in het verlengde van de havenmond; koppelpunt 1.500 m buiten de mond (A4). Lengte buiten de mond voorlopig 18.000 m: Porto Central meldt een toegang van ca. 26 km tot ca. -25 m; bij een vergelijkbare helling ligt de -18,2 m-lijn rond 18 km.</t>
        </is>
      </c>
      <c r="E9" s="3" t="inlineStr">
        <is>
          <t>Deels open</t>
        </is>
      </c>
      <c r="F9" s="3" t="inlineStr">
        <is>
          <t>Eindpunt op de -18,2 m MLWS-dieptelijn van de bathymetrie leggen; MLWS-DHN koppelen; geullengte terugzetten in Nautiek D31.</t>
        </is>
      </c>
    </row>
    <row r="10">
      <c r="A10" s="3" t="inlineStr">
        <is>
          <t>B06</t>
        </is>
      </c>
      <c r="B10" s="3" t="inlineStr">
        <is>
          <t>LNG-steiger en tanks</t>
        </is>
      </c>
      <c r="C10" s="3" t="inlineStr">
        <is>
          <t>SO: LNG-tanks direct achter het containerterrein, op 116 m.</t>
        </is>
      </c>
      <c r="D10" s="3" t="inlineStr">
        <is>
          <t>DO: tanks in het zuidelijke deel van de LNG-zone, 296 m van het containerterrein met de zuidweg ertussen; LNG-steiger achter de zuidelijke dam, 561 m vrij van de draaikom; ruimte voor een 4e tank.</t>
        </is>
      </c>
      <c r="E10" s="3" t="inlineStr">
        <is>
          <t>Verwerkt / QRA open</t>
        </is>
      </c>
      <c r="F10" s="3" t="inlineStr">
        <is>
          <t>QRA en veiligheidsafstanden; N-1-voorraadbeleid kiezen.</t>
        </is>
      </c>
    </row>
    <row r="11">
      <c r="A11" s="3" t="inlineStr">
        <is>
          <t>B07</t>
        </is>
      </c>
      <c r="B11" s="3" t="inlineStr">
        <is>
          <t>Droge bulk (graan) en RoRo</t>
        </is>
      </c>
      <c r="C11" s="3" t="inlineStr">
        <is>
          <t>SO: gedeeld perceel van 104 ha aan de noordkade, weg kruist het terrein.</t>
        </is>
      </c>
      <c r="D11" s="3" t="inlineStr">
        <is>
          <t>DO: graan 30,4 ha en RoRo 30,4 ha naast elkaar aan de noordkade van het hoofdbekken, ieder een kade van 300 m, eigen poort aan de noordweg; graansilo met transportband, RoRo-ramp.</t>
        </is>
      </c>
      <c r="E11" s="3" t="inlineStr">
        <is>
          <t>Verwerkt</t>
        </is>
      </c>
      <c r="F11" s="3" t="inlineStr">
        <is>
          <t>Rijcircuit RoRo en conveyorroute graan detailleren.</t>
        </is>
      </c>
    </row>
    <row r="12">
      <c r="A12" s="3" t="inlineStr">
        <is>
          <t>B08</t>
        </is>
      </c>
      <c r="B12" s="3" t="inlineStr">
        <is>
          <t>Fasering</t>
        </is>
      </c>
      <c r="C12" s="3" t="inlineStr">
        <is>
          <t>SO: containerfase 1 aan het zuideinde; alle bekkens in fase 1 baggeren.</t>
        </is>
      </c>
      <c r="D12" s="3" t="inlineStr">
        <is>
          <t>DO: fase 1 aan de noordkop (C1-C2), de kade groeit zuidwaarts langs de voorhaven; gebaggerd 87,0 / 100,7 / 114,3 ha (hoofdbekken + ligplaatsstroken).</t>
        </is>
      </c>
      <c r="E12" s="3" t="inlineStr">
        <is>
          <t>Verwerkt</t>
        </is>
      </c>
      <c r="F12" s="3" t="inlineStr">
        <is>
          <t>Bouwmethode uitbreiding naast werkende kade uitwerken.</t>
        </is>
      </c>
    </row>
    <row r="13">
      <c r="A13" s="3" t="inlineStr">
        <is>
          <t>B09</t>
        </is>
      </c>
      <c r="B13" s="3" t="inlineStr">
        <is>
          <t>Centrale en utilities</t>
        </is>
      </c>
      <c r="C13" s="3" t="inlineStr">
        <is>
          <t>SO: centrale naast de LNG-zone.</t>
        </is>
      </c>
      <c r="D13" s="3" t="inlineStr">
        <is>
          <t>DO: reservering 43,5 ha naast de LNG-zone langs de zuidrand; gasleiding naar het regionale net; koelwater indicatief.</t>
        </is>
      </c>
      <c r="E13" s="3" t="inlineStr">
        <is>
          <t>Reservering</t>
        </is>
      </c>
      <c r="F13" s="3" t="inlineStr">
        <is>
          <t>Vermogen/proceskeuze vaststellen; recirculatie koelwater toetsen.</t>
        </is>
      </c>
    </row>
    <row r="14">
      <c r="A14" s="3" t="inlineStr">
        <is>
          <t>B10</t>
        </is>
      </c>
      <c r="B14" s="3" t="inlineStr">
        <is>
          <t>Achterland</t>
        </is>
      </c>
      <c r="C14" s="3" t="inlineStr">
        <is>
          <t>SO: weg door het graan/RoRo-perceel.</t>
        </is>
      </c>
      <c r="D14" s="3" t="inlineStr">
        <is>
          <t>DO: noordweg langs graan, RoRo en havendienst; zuidweg langs containerterrein, LNG en centrale; beide aangesloten op het regionale net aan de westzijde, met spoor.</t>
        </is>
      </c>
      <c r="E14" s="3" t="inlineStr">
        <is>
          <t>Verwerkt</t>
        </is>
      </c>
      <c r="F14" s="3" t="inlineStr">
        <is>
          <t>Tracé naar het regionale weg- en spoornet bepalen.</t>
        </is>
      </c>
    </row>
    <row r="15">
      <c r="A15" s="3" t="inlineStr">
        <is>
          <t>B11</t>
        </is>
      </c>
      <c r="B15" s="3" t="inlineStr">
        <is>
          <t>Ondergrond en georeferentie</t>
        </is>
      </c>
      <c r="C15" s="3" t="inlineStr">
        <is>
          <t>Kaartondergrond nodig met controle.</t>
        </is>
      </c>
      <c r="D15" s="3" t="inlineStr">
        <is>
          <t>Sentinel-2 L2A van 03-07-2026 (10 m); kust vs. GSHHS gemiddeld 14 m (sd 66 m); bronpunten liggen 14-18 m van de waterlijn.</t>
        </is>
      </c>
      <c r="E15" s="3" t="inlineStr">
        <is>
          <t>Gecontroleerd</t>
        </is>
      </c>
      <c r="F15" s="3" t="inlineStr">
        <is>
          <t>In Civil 3D drie herkenningspunten tegen Map Aerial meten en afwijking invullen.</t>
        </is>
      </c>
    </row>
    <row r="16">
      <c r="A16" s="3" t="inlineStr">
        <is>
          <t>B12</t>
        </is>
      </c>
      <c r="B16" s="3" t="inlineStr">
        <is>
          <t>Grondwerk</t>
        </is>
      </c>
      <c r="C16" s="3" t="inlineStr">
        <is>
          <t>Oppervlakken ontbraken.</t>
        </is>
      </c>
      <c r="D16" s="3" t="inlineStr">
        <is>
          <t>Havenbekken 2.151.343 m2, geul buiten de mond 3.960.000 m2, terreinophoging 3.232.056 m2 ingevuld; ontwerpbodem als LandXML-oppervlak voor Civil 3D.</t>
        </is>
      </c>
      <c r="E16" s="3" t="inlineStr">
        <is>
          <t>Deels open</t>
        </is>
      </c>
      <c r="F16" s="3" t="inlineStr">
        <is>
          <t>Bathymetrie als Civil 3D-oppervlak inlezen en volume tegen Ontwerpbodem_DO berekenen; geul splitsen op DHN -15 m.</t>
        </is>
      </c>
    </row>
    <row r="17">
      <c r="A17" s="3" t="inlineStr">
        <is>
          <t>B13</t>
        </is>
      </c>
      <c r="B17" s="3" t="inlineStr">
        <is>
          <t>Variantafweging</t>
        </is>
      </c>
      <c r="C17" s="3" t="inlineStr">
        <is>
          <t>Scores ontbreken.</t>
        </is>
      </c>
      <c r="D17" s="3" t="inlineStr">
        <is>
          <t>Niet door de tekenaar ingevuld: de groep scoort de eigen schetsen met motivering.</t>
        </is>
      </c>
      <c r="E17" s="3" t="inlineStr">
        <is>
          <t>Open</t>
        </is>
      </c>
      <c r="F17" s="3" t="inlineStr">
        <is>
          <t>Tabblad Afweging invullen per groepslid-schets.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2026-10-22T11:20:26Z</dcterms:created>
  <dcterms:modified xmlns:dcterms="http://purl.org/dc/terms/" xmlns:xsi="http://www.w3.org/2001/XMLSchema-instance" xsi:type="dcterms:W3CDTF">2026-10-22T11:20:26Z</dcterms:modified>
</cp:coreProperties>
</file>