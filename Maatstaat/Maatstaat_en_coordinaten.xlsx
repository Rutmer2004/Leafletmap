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18000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19720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170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220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802.1921820132022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1203.288273019349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1604.384364026388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Draaikom binnenhaven (graan/RoRo)</t>
        </is>
      </c>
      <c r="B25" s="3" t="inlineStr">
        <is>
          <t>m</t>
        </is>
      </c>
      <c r="C25" s="4" t="n">
        <v>460</v>
      </c>
      <c r="D25" s="3" t="n">
        <v>458</v>
      </c>
      <c r="E25" s="3" t="inlineStr">
        <is>
          <t>2 x LOA graan</t>
        </is>
      </c>
      <c r="F25" s="3" t="inlineStr">
        <is>
          <t>vrij getoetst</t>
        </is>
      </c>
    </row>
    <row r="26">
      <c r="A26" s="3" t="inlineStr">
        <is>
          <t xml:space="preserve">  afstand tot afgemeerde schepen</t>
        </is>
      </c>
      <c r="B26" s="3" t="inlineStr">
        <is>
          <t>m</t>
        </is>
      </c>
      <c r="C26" s="4" t="n">
        <v>286</v>
      </c>
      <c r="D26" s="3" t="inlineStr">
        <is>
          <t>&gt;0</t>
        </is>
      </c>
      <c r="E26" s="3" t="inlineStr"/>
      <c r="F26" s="3" t="inlineStr">
        <is>
          <t>voldoet</t>
        </is>
      </c>
    </row>
    <row r="27">
      <c r="A27" s="3" t="inlineStr">
        <is>
          <t>LNG-ligplaatsenvelop</t>
        </is>
      </c>
      <c r="B27" s="3" t="inlineStr">
        <is>
          <t>m</t>
        </is>
      </c>
      <c r="C27" s="4" t="n">
        <v>400</v>
      </c>
      <c r="D27" s="3" t="n">
        <v>400</v>
      </c>
      <c r="E27" s="3" t="inlineStr">
        <is>
          <t>tekenbrief</t>
        </is>
      </c>
      <c r="F27" s="3" t="inlineStr">
        <is>
          <t>dolphins indicatief</t>
        </is>
      </c>
    </row>
    <row r="28">
      <c r="A28" s="3" t="inlineStr">
        <is>
          <t>LNG-envelop tot draaikom</t>
        </is>
      </c>
      <c r="B28" s="3" t="inlineStr">
        <is>
          <t>m</t>
        </is>
      </c>
      <c r="C28" s="4" t="n">
        <v>561</v>
      </c>
      <c r="D28" s="3" t="inlineStr">
        <is>
          <t>&gt;0</t>
        </is>
      </c>
      <c r="E28" s="3" t="inlineStr"/>
      <c r="F28" s="3" t="inlineStr">
        <is>
          <t>vrij; QRA volgt</t>
        </is>
      </c>
    </row>
    <row r="29">
      <c r="A29" s="3" t="inlineStr">
        <is>
          <t>LNG-tanks tot containerterrein</t>
        </is>
      </c>
      <c r="B29" s="3" t="inlineStr">
        <is>
          <t>m</t>
        </is>
      </c>
      <c r="C29" s="4" t="n">
        <v>296</v>
      </c>
      <c r="D29" s="3" t="n"/>
      <c r="E29" s="3" t="inlineStr"/>
      <c r="F29" s="3" t="inlineStr">
        <is>
          <t>QRA volgt</t>
        </is>
      </c>
    </row>
    <row r="30">
      <c r="A30" s="3" t="inlineStr">
        <is>
          <t>LNG-zone (tanks + hervergassing)</t>
        </is>
      </c>
      <c r="B30" s="3" t="inlineStr">
        <is>
          <t>ha</t>
        </is>
      </c>
      <c r="C30" s="6" t="n">
        <v>31.9</v>
      </c>
      <c r="D30" s="3" t="n"/>
      <c r="E30" s="3" t="inlineStr">
        <is>
          <t>Invoer D51-D52</t>
        </is>
      </c>
      <c r="F30" s="3" t="inlineStr">
        <is>
          <t>3 tanks + optie 4e</t>
        </is>
      </c>
    </row>
    <row r="31">
      <c r="A31" s="3" t="inlineStr">
        <is>
          <t>Centrale + utilities (reservering)</t>
        </is>
      </c>
      <c r="B31" s="3" t="inlineStr">
        <is>
          <t>ha</t>
        </is>
      </c>
      <c r="C31" s="6" t="n">
        <v>43.5</v>
      </c>
      <c r="D31" s="3" t="n"/>
      <c r="E31" s="3" t="inlineStr">
        <is>
          <t>geen vast oppervlak</t>
        </is>
      </c>
      <c r="F31" s="3" t="inlineStr">
        <is>
          <t>reservering</t>
        </is>
      </c>
    </row>
    <row r="32">
      <c r="A32" s="3" t="inlineStr">
        <is>
          <t>STS-kranen F1 / F2 / F3</t>
        </is>
      </c>
      <c r="B32" s="3" t="inlineStr">
        <is>
          <t>st</t>
        </is>
      </c>
      <c r="C32" s="4" t="inlineStr">
        <is>
          <t>6 / 12 / 20</t>
        </is>
      </c>
      <c r="D32" s="3" t="inlineStr">
        <is>
          <t>6 / 12 / 20</t>
        </is>
      </c>
      <c r="E32" s="3" t="inlineStr">
        <is>
          <t>Containers D19-F19</t>
        </is>
      </c>
      <c r="F32" s="3" t="inlineStr">
        <is>
          <t>gelijk</t>
        </is>
      </c>
    </row>
    <row r="33">
      <c r="A33" s="3" t="inlineStr">
        <is>
          <t>TEU-grondslots stackzone F3 (28 m2/slot)</t>
        </is>
      </c>
      <c r="B33" s="3" t="inlineStr">
        <is>
          <t>slots</t>
        </is>
      </c>
      <c r="C33" s="4" t="n">
        <v>40558</v>
      </c>
      <c r="D33" s="3" t="n">
        <v>40444</v>
      </c>
      <c r="E33" s="3" t="inlineStr">
        <is>
          <t>Containers F25</t>
        </is>
      </c>
      <c r="F33" s="3" t="inlineStr">
        <is>
          <t>voldoet</t>
        </is>
      </c>
    </row>
    <row r="34">
      <c r="A34" s="3" t="inlineStr">
        <is>
          <t>Stackzone bruto</t>
        </is>
      </c>
      <c r="B34" s="3" t="inlineStr">
        <is>
          <t>ha</t>
        </is>
      </c>
      <c r="C34" s="6" t="n">
        <v>113.6</v>
      </c>
      <c r="D34" s="3" t="n">
        <v>113.2</v>
      </c>
      <c r="E34" s="3" t="inlineStr">
        <is>
          <t>Containers F26</t>
        </is>
      </c>
      <c r="F34" s="3" t="inlineStr">
        <is>
          <t>voldoet</t>
        </is>
      </c>
    </row>
    <row r="35">
      <c r="A35" s="3" t="inlineStr">
        <is>
          <t>Graansilo's 8 x D 30 m x 40 m</t>
        </is>
      </c>
      <c r="B35" s="3" t="inlineStr">
        <is>
          <t>t</t>
        </is>
      </c>
      <c r="C35" s="4" t="n">
        <v>169646</v>
      </c>
      <c r="D35" s="3" t="n">
        <v>154100</v>
      </c>
      <c r="E35" s="3" t="inlineStr">
        <is>
          <t>Overige terminals F9</t>
        </is>
      </c>
      <c r="F35" s="3" t="inlineStr">
        <is>
          <t>voldoet</t>
        </is>
      </c>
    </row>
    <row r="36">
      <c r="A36" s="3" t="inlineStr">
        <is>
          <t>RoRo-parkeercapaciteit</t>
        </is>
      </c>
      <c r="B36" s="3" t="inlineStr">
        <is>
          <t>auto's</t>
        </is>
      </c>
      <c r="C36" s="4" t="n">
        <v>9698</v>
      </c>
      <c r="D36" s="3" t="n">
        <v>7479</v>
      </c>
      <c r="E36" s="3" t="inlineStr">
        <is>
          <t>Overige terminals F15</t>
        </is>
      </c>
      <c r="F36" s="3" t="inlineStr">
        <is>
          <t>voldoet</t>
        </is>
      </c>
    </row>
    <row r="37">
      <c r="A37" s="3" t="inlineStr">
        <is>
          <t>Centrale STEG-eenheden</t>
        </is>
      </c>
      <c r="B37" s="3" t="inlineStr">
        <is>
          <t>MW</t>
        </is>
      </c>
      <c r="C37" s="4" t="n">
        <v>2260</v>
      </c>
      <c r="D37" s="3" t="n">
        <v>2256</v>
      </c>
      <c r="E37" s="3" t="inlineStr">
        <is>
          <t>Overige terminals F30</t>
        </is>
      </c>
      <c r="F37" s="3" t="inlineStr">
        <is>
          <t>rekenvoorbeeld</t>
        </is>
      </c>
    </row>
    <row r="38">
      <c r="A38" s="3" t="inlineStr">
        <is>
          <t>Havendiensten / sleepboten</t>
        </is>
      </c>
      <c r="B38" s="3" t="inlineStr">
        <is>
          <t>ha</t>
        </is>
      </c>
      <c r="C38" s="6" t="n">
        <v>43</v>
      </c>
      <c r="D38" s="3" t="n"/>
      <c r="E38" s="3" t="inlineStr"/>
      <c r="F38" s="3" t="inlineStr">
        <is>
          <t>reservering</t>
        </is>
      </c>
    </row>
    <row r="39">
      <c r="A39" s="3" t="inlineStr">
        <is>
          <t>Vrije breedte hoofdbekken met graanschip aan de kade</t>
        </is>
      </c>
      <c r="B39" s="3" t="inlineStr">
        <is>
          <t>m</t>
        </is>
      </c>
      <c r="C39" s="4" t="n">
        <v>334</v>
      </c>
      <c r="D39" s="3" t="n">
        <v>220</v>
      </c>
      <c r="E39" s="3" t="inlineStr"/>
      <c r="F39" s="3" t="inlineStr">
        <is>
          <t>voldoet</t>
        </is>
      </c>
    </row>
    <row r="40">
      <c r="A40" s="3" t="inlineStr">
        <is>
          <t>Binnenbekken gebaggerd fase 1</t>
        </is>
      </c>
      <c r="B40" s="3" t="inlineStr">
        <is>
          <t>m2</t>
        </is>
      </c>
      <c r="C40" s="4" t="n">
        <v>1324523</v>
      </c>
      <c r="D40" s="3" t="n"/>
      <c r="E40" s="3" t="inlineStr"/>
      <c r="F40" s="3" t="inlineStr"/>
    </row>
    <row r="41">
      <c r="A41" s="3" t="inlineStr">
        <is>
          <t>Binnenbekken gebaggerd fase 2 (cumulatief)</t>
        </is>
      </c>
      <c r="B41" s="3" t="inlineStr">
        <is>
          <t>m2</t>
        </is>
      </c>
      <c r="C41" s="4" t="n">
        <v>1461326</v>
      </c>
      <c r="D41" s="3" t="n"/>
      <c r="E41" s="3" t="inlineStr"/>
      <c r="F41" s="3" t="inlineStr"/>
    </row>
    <row r="42">
      <c r="A42" s="3" t="inlineStr">
        <is>
          <t>Binnenbekken gebaggerd fase 3 (cumulatief)</t>
        </is>
      </c>
      <c r="B42" s="3" t="inlineStr">
        <is>
          <t>m2</t>
        </is>
      </c>
      <c r="C42" s="4" t="n">
        <v>1598128</v>
      </c>
      <c r="D42" s="3" t="n"/>
      <c r="E42" s="3" t="inlineStr"/>
      <c r="F42" s="3" t="inlineStr"/>
    </row>
    <row r="43">
      <c r="A43" s="3" t="inlineStr">
        <is>
          <t>Voorhaven + LNG-insteek gebaggerd</t>
        </is>
      </c>
      <c r="B43" s="3" t="inlineStr">
        <is>
          <t>m2</t>
        </is>
      </c>
      <c r="C43" s="4" t="n">
        <v>1007981</v>
      </c>
      <c r="D43" s="3" t="n"/>
      <c r="E43" s="3" t="inlineStr"/>
      <c r="F43" s="3" t="inlineStr"/>
    </row>
    <row r="44">
      <c r="A44" s="3" t="inlineStr">
        <is>
          <t>Havenbekken totaal (zone 1)</t>
        </is>
      </c>
      <c r="B44" s="3" t="inlineStr">
        <is>
          <t>m2</t>
        </is>
      </c>
      <c r="C44" s="4" t="n">
        <v>2606110</v>
      </c>
      <c r="D44" s="3" t="n"/>
      <c r="E44" s="3" t="inlineStr">
        <is>
          <t>Grondwerk C6</t>
        </is>
      </c>
      <c r="F44" s="3" t="inlineStr">
        <is>
          <t>ingevuld</t>
        </is>
      </c>
    </row>
    <row r="45">
      <c r="A45" s="3" t="inlineStr">
        <is>
          <t>Geul buiten de mond (zone 2 + 3)</t>
        </is>
      </c>
      <c r="B45" s="3" t="inlineStr">
        <is>
          <t>m2</t>
        </is>
      </c>
      <c r="C45" s="4" t="n">
        <v>3960000</v>
      </c>
      <c r="D45" s="3" t="n"/>
      <c r="E45" s="3" t="inlineStr">
        <is>
          <t>Grondwerk C7 + C8</t>
        </is>
      </c>
      <c r="F45" s="3" t="inlineStr">
        <is>
          <t>splitsing open</t>
        </is>
      </c>
    </row>
    <row r="46">
      <c r="A46" s="3" t="inlineStr">
        <is>
          <t>Terreinophoging (terminals, LNG, centrale, havendienst)</t>
        </is>
      </c>
      <c r="B46" s="3" t="inlineStr">
        <is>
          <t>m2</t>
        </is>
      </c>
      <c r="C46" s="4" t="n">
        <v>3229941</v>
      </c>
      <c r="D46" s="3" t="n"/>
      <c r="E46" s="3" t="inlineStr">
        <is>
          <t>Grondwerk D21</t>
        </is>
      </c>
      <c r="F46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297534.6</v>
      </c>
      <c r="D6" s="3" t="n">
        <v>7649611.92</v>
      </c>
      <c r="E6" s="3" t="n">
        <v>-21.2438783</v>
      </c>
      <c r="F6" s="3" t="n">
        <v>-40.9510234</v>
      </c>
      <c r="G6" s="3" t="n">
        <v>845</v>
      </c>
      <c r="H6" s="3" t="n">
        <v>320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299233.15</v>
      </c>
      <c r="D7" s="3" t="n">
        <v>7649340.79</v>
      </c>
      <c r="E7" s="3" t="n">
        <v>-21.2465152</v>
      </c>
      <c r="F7" s="3" t="n">
        <v>-40.9346946</v>
      </c>
      <c r="G7" s="3" t="n">
        <v>1007</v>
      </c>
      <c r="H7" s="3" t="n">
        <v>376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300714.4</v>
      </c>
      <c r="D8" s="3" t="n">
        <v>7649104.35</v>
      </c>
      <c r="E8" s="3" t="n">
        <v>-21.2488135</v>
      </c>
      <c r="F8" s="3" t="n">
        <v>-40.9204543</v>
      </c>
      <c r="G8" s="3" t="n">
        <v>1148.3</v>
      </c>
      <c r="H8" s="3" t="n">
        <v>424.8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317008.13</v>
      </c>
      <c r="D9" s="3" t="n">
        <v>7646503.5</v>
      </c>
      <c r="E9" s="3" t="n">
        <v>-21.274017</v>
      </c>
      <c r="F9" s="3" t="n">
        <v>-40.7637753</v>
      </c>
      <c r="G9" s="3" t="n">
        <v>2702.3</v>
      </c>
      <c r="H9" s="3" t="n">
        <v>962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296970.74</v>
      </c>
      <c r="D12" s="3" t="n">
        <v>7649746.86</v>
      </c>
      <c r="E12" s="3" t="n">
        <v>-21.2425969</v>
      </c>
      <c r="F12" s="3" t="n">
        <v>-40.9564384</v>
      </c>
      <c r="G12" s="3" t="n">
        <v>792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296513.33</v>
      </c>
      <c r="D13" s="3" t="n">
        <v>7648209.06</v>
      </c>
      <c r="E13" s="3" t="n">
        <v>-21.2564321</v>
      </c>
      <c r="F13" s="3" t="n">
        <v>-40.9610281</v>
      </c>
      <c r="G13" s="3" t="n">
        <v>720.5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7">
      <c r="A17" s="3" t="inlineStr">
        <is>
          <t>A13</t>
        </is>
      </c>
      <c r="B17" s="3" t="inlineStr">
        <is>
          <t>Middelpunt draaikom binnenhaven</t>
        </is>
      </c>
      <c r="C17" s="3" t="n">
        <v>295694.75</v>
      </c>
      <c r="D17" s="3" t="n">
        <v>7649644.15</v>
      </c>
      <c r="E17" s="3" t="n">
        <v>-21.2433813</v>
      </c>
      <c r="F17" s="3" t="n">
        <v>-40.968741</v>
      </c>
      <c r="G17" s="3" t="n">
        <v>665</v>
      </c>
      <c r="H17" s="3" t="n">
        <v>285</v>
      </c>
    </row>
    <row r="19">
      <c r="A19" t="inlineStr">
        <is>
          <t>DO overgetrokken van de Porto Central-render: schaal 10.035 m/px, draaiing 10.0 gr, render (812,5; 275) = A1.</t>
        </is>
      </c>
    </row>
    <row r="20">
      <c r="A20" t="inlineStr">
        <is>
          <t>E = 9.882546 x + 1.742559 y + 288626.228;  N = 1.742559 x + -9.882546 y + 7651301.871  (x, y = renderpixel, y omlaag).</t>
        </is>
      </c>
    </row>
    <row r="21">
      <c r="A21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297224.18</v>
      </c>
      <c r="D6" s="3" t="n">
        <v>7649638.7</v>
      </c>
      <c r="E6" s="3" t="n">
        <v>-21.2436019</v>
      </c>
      <c r="F6" s="3" t="n">
        <v>-40.9540102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301231.45</v>
      </c>
      <c r="D8" s="3" t="n">
        <v>7649051.49</v>
      </c>
      <c r="E8" s="3" t="n">
        <v>-21.2493475</v>
      </c>
      <c r="F8" s="3" t="n">
        <v>-40.91548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316924.72</v>
      </c>
      <c r="D9" s="3" t="n">
        <v>7650884.84</v>
      </c>
      <c r="E9" s="3" t="n">
        <v>-21.2344404</v>
      </c>
      <c r="F9" s="3" t="n">
        <v>-40.7641076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 en programma</t>
        </is>
      </c>
      <c r="C6" s="3" t="inlineStr">
        <is>
          <t>SO: grove schets op de Porto Central-render.</t>
        </is>
      </c>
      <c r="D6" s="3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E6" s="3" t="inlineStr">
        <is>
          <t>Vastgelegd</t>
        </is>
      </c>
      <c r="F6" s="3" t="inlineStr">
        <is>
          <t>Uitbreidingsruimte apart onderbouwen als de groei na 2045 aan de orde komt.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Manoeuvreren met grote schepen</t>
        </is>
      </c>
      <c r="C8" s="3" t="inlineStr">
        <is>
          <t>SO: containerkade in het insteekbekken: een schip van 334 m moet 63 gr draaien vanuit een hoofdbekken van 371 m breed. Met een vuistregel voor de bochtstraal van minimaal 3 x LOA (ca. 1.000 m) past dat niet. Ook overlapt de draaikom de containervinger (1,5 ha) en is er binnen geen draairuimte voor graan- en RoRo-schepen.</t>
        </is>
      </c>
      <c r="D8" s="3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E8" s="3" t="inlineStr">
        <is>
          <t>Verwerkt</t>
        </is>
      </c>
      <c r="F8" s="3" t="inlineStr">
        <is>
          <t>Toetsen met bochtstralen uit PIANC WG121 en een nautische simulatie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LNG-tanks direct achter het containerterrein, op 116 m.</t>
        </is>
      </c>
      <c r="D10" s="3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veiligheidsafstanden; N-1-voorraadbeleid kiezen.</t>
        </is>
      </c>
    </row>
    <row r="11">
      <c r="A11" s="3" t="inlineStr">
        <is>
          <t>B07</t>
        </is>
      </c>
      <c r="B11" s="3" t="inlineStr">
        <is>
          <t>Droge bulk (graan) en RoRo</t>
        </is>
      </c>
      <c r="C11" s="3" t="inlineStr">
        <is>
          <t>SO: gedeeld perceel van 104 ha aan de noordkade, weg kruist het terrein.</t>
        </is>
      </c>
      <c r="D11" s="3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E11" s="3" t="inlineStr">
        <is>
          <t>Verwerkt</t>
        </is>
      </c>
      <c r="F11" s="3" t="inlineStr">
        <is>
          <t>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zuideinde; alle bekkens in fase 1 baggeren.</t>
        </is>
      </c>
      <c r="D12" s="3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E12" s="3" t="inlineStr">
        <is>
          <t>Verwerkt</t>
        </is>
      </c>
      <c r="F12" s="3" t="inlineStr">
        <is>
          <t>Bouwmethode uitbreiding naast werkende kade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LNG-zone.</t>
        </is>
      </c>
      <c r="D13" s="3" t="inlineStr">
        <is>
          <t>DO: reservering 43,5 ha naast de LNG-zone langs de zuidrand; gasleiding naar het regionale net; koelwater indicatief.</t>
        </is>
      </c>
      <c r="E13" s="3" t="inlineStr">
        <is>
          <t>Reservering</t>
        </is>
      </c>
      <c r="F13" s="3" t="inlineStr">
        <is>
          <t>Vermogen/proceskeuze vaststellen; recirculatie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weg door het graan/RoRo-perceel.</t>
        </is>
      </c>
      <c r="D14" s="3" t="inlineStr">
        <is>
          <t>DO: noordweg langs graan, RoRo en havendienst; zuidweg langs containerterrein, LNG en centrale; beide aangesloten op het regionale net aan de westzijde, met spoor.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2.606.110 m2, geul buiten de mond 3.960.000 m2, terreinophoging 3.229.941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2026-10-22T11:55:45Z</dcterms:created>
  <dcterms:modified xmlns:dcterms="http://purl.org/dc/terms/" xmlns:xsi="http://www.w3.org/2001/XMLSchema-instance" xsi:type="dcterms:W3CDTF">2026-10-22T11:55:45Z</dcterms:modified>
</cp:coreProperties>
</file>